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rch1\OneDrive\Desktop\Maincrafts Data\TASK - 01\"/>
    </mc:Choice>
  </mc:AlternateContent>
  <xr:revisionPtr revIDLastSave="0" documentId="13_ncr:1_{6280DC64-6918-46B3-ADAE-6A55C09B3CE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AW-DATA" sheetId="1" r:id="rId1"/>
    <sheet name="CLEANED DATA" sheetId="2" r:id="rId2"/>
    <sheet name="SALES BY REGION" sheetId="3" r:id="rId3"/>
    <sheet name="SALES BY PRODUCT" sheetId="4" r:id="rId4"/>
    <sheet name="MONTHLY SALES TREND" sheetId="5" r:id="rId5"/>
  </sheets>
  <calcPr calcId="191029" iterateDelta="1E-4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J2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</calcChain>
</file>

<file path=xl/sharedStrings.xml><?xml version="1.0" encoding="utf-8"?>
<sst xmlns="http://schemas.openxmlformats.org/spreadsheetml/2006/main" count="1889" uniqueCount="402">
  <si>
    <t>Order_ID</t>
  </si>
  <si>
    <t>Order_Date</t>
  </si>
  <si>
    <t>Region</t>
  </si>
  <si>
    <t>Product</t>
  </si>
  <si>
    <t>Category</t>
  </si>
  <si>
    <t>Sales_Amount</t>
  </si>
  <si>
    <t>Profit</t>
  </si>
  <si>
    <t>Quantity</t>
  </si>
  <si>
    <t>ORD-1031</t>
  </si>
  <si>
    <t>04-07-2024</t>
  </si>
  <si>
    <t>South</t>
  </si>
  <si>
    <t>Keyboard</t>
  </si>
  <si>
    <t>Accessories</t>
  </si>
  <si>
    <t>ORD-1166</t>
  </si>
  <si>
    <t>25-04-2024</t>
  </si>
  <si>
    <t>East</t>
  </si>
  <si>
    <t>Tablet</t>
  </si>
  <si>
    <t>Electronics</t>
  </si>
  <si>
    <t>ORD-1058</t>
  </si>
  <si>
    <t>16-10-2024</t>
  </si>
  <si>
    <t>Camera</t>
  </si>
  <si>
    <t>ORD-1158</t>
  </si>
  <si>
    <t>01-08-2024</t>
  </si>
  <si>
    <t>Speaker</t>
  </si>
  <si>
    <t>ORD-1113</t>
  </si>
  <si>
    <t>04-01-2024</t>
  </si>
  <si>
    <t>Mouse</t>
  </si>
  <si>
    <t>ORD-1149</t>
  </si>
  <si>
    <t>21-05-2024</t>
  </si>
  <si>
    <t>ORD-1127</t>
  </si>
  <si>
    <t>25-02-2024</t>
  </si>
  <si>
    <t>North</t>
  </si>
  <si>
    <t>ORD-1190</t>
  </si>
  <si>
    <t>04-09-2024</t>
  </si>
  <si>
    <t>ORD-1095</t>
  </si>
  <si>
    <t>11-12-2024</t>
  </si>
  <si>
    <t>West</t>
  </si>
  <si>
    <t>Monitor</t>
  </si>
  <si>
    <t>ORD-1142</t>
  </si>
  <si>
    <t>03-05-2024</t>
  </si>
  <si>
    <t>Printer</t>
  </si>
  <si>
    <t>Office</t>
  </si>
  <si>
    <t>ORD-1130</t>
  </si>
  <si>
    <t>03-11-2024</t>
  </si>
  <si>
    <t>Smartphone</t>
  </si>
  <si>
    <t>ORD-1001</t>
  </si>
  <si>
    <t>23-11-2024</t>
  </si>
  <si>
    <t>ORD-1173</t>
  </si>
  <si>
    <t>26-10-2024</t>
  </si>
  <si>
    <t>Headphones</t>
  </si>
  <si>
    <t>ORD-1137</t>
  </si>
  <si>
    <t>18-10-2024</t>
  </si>
  <si>
    <t>ORD-1107</t>
  </si>
  <si>
    <t>ORD-1172</t>
  </si>
  <si>
    <t>30-03-2024</t>
  </si>
  <si>
    <t>ORD-1186</t>
  </si>
  <si>
    <t>29-08-2024</t>
  </si>
  <si>
    <t>ORD-1103</t>
  </si>
  <si>
    <t>03-03-2024</t>
  </si>
  <si>
    <t>ORD-1161</t>
  </si>
  <si>
    <t>15-05-2024</t>
  </si>
  <si>
    <t>ORD-1177</t>
  </si>
  <si>
    <t>09-05-2024</t>
  </si>
  <si>
    <t>ORD-1138</t>
  </si>
  <si>
    <t>15-06-2024</t>
  </si>
  <si>
    <t>ORD-1086</t>
  </si>
  <si>
    <t>18-09-2024</t>
  </si>
  <si>
    <t>ORD-1067</t>
  </si>
  <si>
    <t>24-02-2024</t>
  </si>
  <si>
    <t>ORD-1180</t>
  </si>
  <si>
    <t>14-04-2024</t>
  </si>
  <si>
    <t>ORD-1152</t>
  </si>
  <si>
    <t>28-01-2024</t>
  </si>
  <si>
    <t>ORD-1052</t>
  </si>
  <si>
    <t>06-09-2024</t>
  </si>
  <si>
    <t>ORD-1104</t>
  </si>
  <si>
    <t>13-10-2024</t>
  </si>
  <si>
    <t>ORD-1073</t>
  </si>
  <si>
    <t>19-12-2024</t>
  </si>
  <si>
    <t>ORD-1088</t>
  </si>
  <si>
    <t>02-10-2024</t>
  </si>
  <si>
    <t>ORD-1148</t>
  </si>
  <si>
    <t>ORD-1056</t>
  </si>
  <si>
    <t>30-04-2024</t>
  </si>
  <si>
    <t>ORD-1080</t>
  </si>
  <si>
    <t>23-04-2024</t>
  </si>
  <si>
    <t>ORD-1155</t>
  </si>
  <si>
    <t>ORD-1143</t>
  </si>
  <si>
    <t>17-02-2024</t>
  </si>
  <si>
    <t>ORD-1185</t>
  </si>
  <si>
    <t>29-05-2024</t>
  </si>
  <si>
    <t>ORD-1141</t>
  </si>
  <si>
    <t>13-02-2024</t>
  </si>
  <si>
    <t>ORD-1064</t>
  </si>
  <si>
    <t>12-08-2024</t>
  </si>
  <si>
    <t>ORD-1050</t>
  </si>
  <si>
    <t>25-03-2024</t>
  </si>
  <si>
    <t>ORD-1082</t>
  </si>
  <si>
    <t>22-05-2024</t>
  </si>
  <si>
    <t>ORD-1125</t>
  </si>
  <si>
    <t>08-12-2024</t>
  </si>
  <si>
    <t>ORD-1162</t>
  </si>
  <si>
    <t>08-02-2024</t>
  </si>
  <si>
    <t>ORD-1046</t>
  </si>
  <si>
    <t>12-03-2024</t>
  </si>
  <si>
    <t>ORD-1100</t>
  </si>
  <si>
    <t>22-12-2024</t>
  </si>
  <si>
    <t>ORD-1110</t>
  </si>
  <si>
    <t>21-12-2024</t>
  </si>
  <si>
    <t>ORD-1027</t>
  </si>
  <si>
    <t>20-08-2024</t>
  </si>
  <si>
    <t>Laptop</t>
  </si>
  <si>
    <t>ORD-1055</t>
  </si>
  <si>
    <t>11-02-2024</t>
  </si>
  <si>
    <t>ORD-1019</t>
  </si>
  <si>
    <t>21-07-2024</t>
  </si>
  <si>
    <t>ORD-1156</t>
  </si>
  <si>
    <t>07-02-2024</t>
  </si>
  <si>
    <t>ORD-1200</t>
  </si>
  <si>
    <t>ORD-1079</t>
  </si>
  <si>
    <t>25-12-2024</t>
  </si>
  <si>
    <t>ORD-1129</t>
  </si>
  <si>
    <t>17-11-2024</t>
  </si>
  <si>
    <t>ORD-1048</t>
  </si>
  <si>
    <t>03-10-2024</t>
  </si>
  <si>
    <t>ORD-1105</t>
  </si>
  <si>
    <t>15-09-2024</t>
  </si>
  <si>
    <t>ORD-1083</t>
  </si>
  <si>
    <t>23-07-2024</t>
  </si>
  <si>
    <t>ORD-1007</t>
  </si>
  <si>
    <t>21-06-2024</t>
  </si>
  <si>
    <t>ORD-1197</t>
  </si>
  <si>
    <t>28-07-2024</t>
  </si>
  <si>
    <t>ORD-1032</t>
  </si>
  <si>
    <t>17-10-2024</t>
  </si>
  <si>
    <t>ORD-1020</t>
  </si>
  <si>
    <t>14-10-2024</t>
  </si>
  <si>
    <t>ORD-1188</t>
  </si>
  <si>
    <t>31-07-2024</t>
  </si>
  <si>
    <t>ORD-1187</t>
  </si>
  <si>
    <t>07-04-2024</t>
  </si>
  <si>
    <t>ORD-1139</t>
  </si>
  <si>
    <t>12-05-2024</t>
  </si>
  <si>
    <t>ORD-1018</t>
  </si>
  <si>
    <t>03-02-2024</t>
  </si>
  <si>
    <t>ORD-1146</t>
  </si>
  <si>
    <t>18-05-2024</t>
  </si>
  <si>
    <t>ORD-1053</t>
  </si>
  <si>
    <t>30-01-2024</t>
  </si>
  <si>
    <t>ORD-1039</t>
  </si>
  <si>
    <t>19-11-2024</t>
  </si>
  <si>
    <t>ORD-1097</t>
  </si>
  <si>
    <t>ORD-1009</t>
  </si>
  <si>
    <t>01-10-2024</t>
  </si>
  <si>
    <t>ORD-1121</t>
  </si>
  <si>
    <t>13-07-2024</t>
  </si>
  <si>
    <t>ORD-1116</t>
  </si>
  <si>
    <t>13-12-2024</t>
  </si>
  <si>
    <t>ORD-1090</t>
  </si>
  <si>
    <t>02-06-2024</t>
  </si>
  <si>
    <t>ORD-1004</t>
  </si>
  <si>
    <t>14-01-2024</t>
  </si>
  <si>
    <t>ORD-1147</t>
  </si>
  <si>
    <t>08-04-2024</t>
  </si>
  <si>
    <t>ORD-1030</t>
  </si>
  <si>
    <t>28-09-2024</t>
  </si>
  <si>
    <t>ORD-1014</t>
  </si>
  <si>
    <t>16-05-2024</t>
  </si>
  <si>
    <t>ORD-1081</t>
  </si>
  <si>
    <t>26-04-2024</t>
  </si>
  <si>
    <t>ORD-1132</t>
  </si>
  <si>
    <t>07-01-2024</t>
  </si>
  <si>
    <t>ORD-1123</t>
  </si>
  <si>
    <t>05-02-2024</t>
  </si>
  <si>
    <t>ORD-1085</t>
  </si>
  <si>
    <t>10-08-2024</t>
  </si>
  <si>
    <t>ORD-1135</t>
  </si>
  <si>
    <t>30-10-2024</t>
  </si>
  <si>
    <t>ORD-1016</t>
  </si>
  <si>
    <t>ORD-1069</t>
  </si>
  <si>
    <t>08-05-2024</t>
  </si>
  <si>
    <t>ORD-1034</t>
  </si>
  <si>
    <t>ORD-1002</t>
  </si>
  <si>
    <t>ORD-1134</t>
  </si>
  <si>
    <t>24-09-2024</t>
  </si>
  <si>
    <t>ORD-1170</t>
  </si>
  <si>
    <t>09-08-2024</t>
  </si>
  <si>
    <t>ORD-1108</t>
  </si>
  <si>
    <t>09-02-2024</t>
  </si>
  <si>
    <t>ORD-1072</t>
  </si>
  <si>
    <t>ORD-1179</t>
  </si>
  <si>
    <t>22-09-2024</t>
  </si>
  <si>
    <t>ORD-1093</t>
  </si>
  <si>
    <t>01-01-2024</t>
  </si>
  <si>
    <t>ORD-1087</t>
  </si>
  <si>
    <t>23-01-2024</t>
  </si>
  <si>
    <t>ORD-1029</t>
  </si>
  <si>
    <t>19-03-2024</t>
  </si>
  <si>
    <t>ORD-1160</t>
  </si>
  <si>
    <t>31-01-2024</t>
  </si>
  <si>
    <t>ORD-1010</t>
  </si>
  <si>
    <t>ORD-1171</t>
  </si>
  <si>
    <t>ORD-1194</t>
  </si>
  <si>
    <t>14-07-2024</t>
  </si>
  <si>
    <t>ORD-1182</t>
  </si>
  <si>
    <t>07-11-2024</t>
  </si>
  <si>
    <t>ORD-1115</t>
  </si>
  <si>
    <t>11-08-2024</t>
  </si>
  <si>
    <t>ORD-1167</t>
  </si>
  <si>
    <t>ORD-1176</t>
  </si>
  <si>
    <t>24-07-2024</t>
  </si>
  <si>
    <t>ORD-1033</t>
  </si>
  <si>
    <t>29-09-2024</t>
  </si>
  <si>
    <t>ORD-1022</t>
  </si>
  <si>
    <t>11-03-2024</t>
  </si>
  <si>
    <t>ORD-1035</t>
  </si>
  <si>
    <t>ORD-1131</t>
  </si>
  <si>
    <t>04-12-2024</t>
  </si>
  <si>
    <t>ORD-1068</t>
  </si>
  <si>
    <t>17-04-2024</t>
  </si>
  <si>
    <t>ORD-1122</t>
  </si>
  <si>
    <t>28-08-2024</t>
  </si>
  <si>
    <t>ORD-1070</t>
  </si>
  <si>
    <t>ORD-1126</t>
  </si>
  <si>
    <t>07-07-2024</t>
  </si>
  <si>
    <t>ORD-1169</t>
  </si>
  <si>
    <t>09-09-2024</t>
  </si>
  <si>
    <t>ORD-1044</t>
  </si>
  <si>
    <t>ORD-1023</t>
  </si>
  <si>
    <t>26-02-2024</t>
  </si>
  <si>
    <t>ORD-1054</t>
  </si>
  <si>
    <t>ORD-1191</t>
  </si>
  <si>
    <t>12-07-2024</t>
  </si>
  <si>
    <t>ORD-1042</t>
  </si>
  <si>
    <t>04-05-2024</t>
  </si>
  <si>
    <t>ORD-1189</t>
  </si>
  <si>
    <t>01-06-2024</t>
  </si>
  <si>
    <t>ORD-1153</t>
  </si>
  <si>
    <t>08-09-2024</t>
  </si>
  <si>
    <t>ORD-1196</t>
  </si>
  <si>
    <t>13-08-2024</t>
  </si>
  <si>
    <t>ORD-1017</t>
  </si>
  <si>
    <t>29-01-2024</t>
  </si>
  <si>
    <t>ORD-1094</t>
  </si>
  <si>
    <t>23-10-2024</t>
  </si>
  <si>
    <t>ORD-1183</t>
  </si>
  <si>
    <t>09-10-2024</t>
  </si>
  <si>
    <t>ORD-1075</t>
  </si>
  <si>
    <t>21-01-2024</t>
  </si>
  <si>
    <t>ORD-1005</t>
  </si>
  <si>
    <t>17-08-2024</t>
  </si>
  <si>
    <t>ORD-1133</t>
  </si>
  <si>
    <t>ORD-1101</t>
  </si>
  <si>
    <t>01-12-2024</t>
  </si>
  <si>
    <t>ORD-1040</t>
  </si>
  <si>
    <t>18-06-2024</t>
  </si>
  <si>
    <t>ORD-1011</t>
  </si>
  <si>
    <t>ORD-1025</t>
  </si>
  <si>
    <t>10-10-2024</t>
  </si>
  <si>
    <t>ORD-1036</t>
  </si>
  <si>
    <t>28-11-2024</t>
  </si>
  <si>
    <t>ORD-1154</t>
  </si>
  <si>
    <t>02-09-2024</t>
  </si>
  <si>
    <t>ORD-1049</t>
  </si>
  <si>
    <t>05-09-2024</t>
  </si>
  <si>
    <t>ORD-1057</t>
  </si>
  <si>
    <t>31-10-2024</t>
  </si>
  <si>
    <t>ORD-1091</t>
  </si>
  <si>
    <t>ORD-1059</t>
  </si>
  <si>
    <t>09-06-2024</t>
  </si>
  <si>
    <t>ORD-1015</t>
  </si>
  <si>
    <t>24-03-2024</t>
  </si>
  <si>
    <t>ORD-1174</t>
  </si>
  <si>
    <t>ORD-1013</t>
  </si>
  <si>
    <t>05-07-2024</t>
  </si>
  <si>
    <t>ORD-1165</t>
  </si>
  <si>
    <t>ORD-1071</t>
  </si>
  <si>
    <t>14-05-2024</t>
  </si>
  <si>
    <t>ORD-1102</t>
  </si>
  <si>
    <t>ORD-1006</t>
  </si>
  <si>
    <t>22-03-2024</t>
  </si>
  <si>
    <t>ORD-1144</t>
  </si>
  <si>
    <t>05-06-2024</t>
  </si>
  <si>
    <t>ORD-1193</t>
  </si>
  <si>
    <t>29-07-2024</t>
  </si>
  <si>
    <t>ORD-1192</t>
  </si>
  <si>
    <t>02-05-2024</t>
  </si>
  <si>
    <t>ORD-1199</t>
  </si>
  <si>
    <t>ORD-1061</t>
  </si>
  <si>
    <t>ORD-1028</t>
  </si>
  <si>
    <t>16-09-2024</t>
  </si>
  <si>
    <t>ORD-1124</t>
  </si>
  <si>
    <t>11-01-2024</t>
  </si>
  <si>
    <t>ORD-1099</t>
  </si>
  <si>
    <t>ORD-1051</t>
  </si>
  <si>
    <t>ORD-1078</t>
  </si>
  <si>
    <t>19-06-2024</t>
  </si>
  <si>
    <t>ORD-1117</t>
  </si>
  <si>
    <t>14-11-2024</t>
  </si>
  <si>
    <t>ORD-1065</t>
  </si>
  <si>
    <t>30-11-2024</t>
  </si>
  <si>
    <t>ORD-1109</t>
  </si>
  <si>
    <t>ORD-1198</t>
  </si>
  <si>
    <t>ORD-1151</t>
  </si>
  <si>
    <t>28-12-2024</t>
  </si>
  <si>
    <t>ORD-1089</t>
  </si>
  <si>
    <t>06-12-2024</t>
  </si>
  <si>
    <t>ORD-1041</t>
  </si>
  <si>
    <t>19-04-2024</t>
  </si>
  <si>
    <t>ORD-1140</t>
  </si>
  <si>
    <t>ORD-1074</t>
  </si>
  <si>
    <t>16-03-2024</t>
  </si>
  <si>
    <t>ORD-1120</t>
  </si>
  <si>
    <t>18-04-2024</t>
  </si>
  <si>
    <t>ORD-1003</t>
  </si>
  <si>
    <t>16-01-2024</t>
  </si>
  <si>
    <t>ORD-1168</t>
  </si>
  <si>
    <t>18-12-2024</t>
  </si>
  <si>
    <t>ORD-1118</t>
  </si>
  <si>
    <t>05-12-2024</t>
  </si>
  <si>
    <t>ORD-1066</t>
  </si>
  <si>
    <t>ORD-1164</t>
  </si>
  <si>
    <t>27-12-2024</t>
  </si>
  <si>
    <t>ORD-1119</t>
  </si>
  <si>
    <t>24-08-2024</t>
  </si>
  <si>
    <t>ORD-1060</t>
  </si>
  <si>
    <t>26-11-2024</t>
  </si>
  <si>
    <t>ORD-1037</t>
  </si>
  <si>
    <t>06-05-2024</t>
  </si>
  <si>
    <t>ORD-1150</t>
  </si>
  <si>
    <t>31-05-2024</t>
  </si>
  <si>
    <t>ORD-1128</t>
  </si>
  <si>
    <t>11-07-2024</t>
  </si>
  <si>
    <t>ORD-1062</t>
  </si>
  <si>
    <t>21-02-2024</t>
  </si>
  <si>
    <t>ORD-1184</t>
  </si>
  <si>
    <t>28-02-2024</t>
  </si>
  <si>
    <t>ORD-1159</t>
  </si>
  <si>
    <t>14-08-2024</t>
  </si>
  <si>
    <t>ORD-1098</t>
  </si>
  <si>
    <t>24-01-2024</t>
  </si>
  <si>
    <t>ORD-1157</t>
  </si>
  <si>
    <t>15-10-2024</t>
  </si>
  <si>
    <t>ORD-1021</t>
  </si>
  <si>
    <t>25-10-2024</t>
  </si>
  <si>
    <t>ORD-1045</t>
  </si>
  <si>
    <t>ORD-1047</t>
  </si>
  <si>
    <t>ORD-1175</t>
  </si>
  <si>
    <t>17-06-2024</t>
  </si>
  <si>
    <t>ORD-1145</t>
  </si>
  <si>
    <t>25-06-2024</t>
  </si>
  <si>
    <t>ORD-1106</t>
  </si>
  <si>
    <t>31-08-2024</t>
  </si>
  <si>
    <t>ORD-1136</t>
  </si>
  <si>
    <t>14-02-2024</t>
  </si>
  <si>
    <t>ORD-1063</t>
  </si>
  <si>
    <t>27-06-2024</t>
  </si>
  <si>
    <t>ORD-1038</t>
  </si>
  <si>
    <t>ORD-1111</t>
  </si>
  <si>
    <t>ORD-1096</t>
  </si>
  <si>
    <t>25-05-2024</t>
  </si>
  <si>
    <t>ORD-1092</t>
  </si>
  <si>
    <t>ORD-1076</t>
  </si>
  <si>
    <t>30-06-2024</t>
  </si>
  <si>
    <t>ORD-1084</t>
  </si>
  <si>
    <t>13-05-2024</t>
  </si>
  <si>
    <t>ORD-1012</t>
  </si>
  <si>
    <t>29-04-2024</t>
  </si>
  <si>
    <t>ORD-1008</t>
  </si>
  <si>
    <t>ORD-1077</t>
  </si>
  <si>
    <t>01-05-2024</t>
  </si>
  <si>
    <t>ORD-1178</t>
  </si>
  <si>
    <t>ORD-1043</t>
  </si>
  <si>
    <t>03-12-2024</t>
  </si>
  <si>
    <t>ORD-1114</t>
  </si>
  <si>
    <t>02-08-2024</t>
  </si>
  <si>
    <t>ORD-1181</t>
  </si>
  <si>
    <t>23-12-2024</t>
  </si>
  <si>
    <t>ORD-1163</t>
  </si>
  <si>
    <t>ORD-1195</t>
  </si>
  <si>
    <t>05-03-2024</t>
  </si>
  <si>
    <t>ORD-1026</t>
  </si>
  <si>
    <t>24-11-2024</t>
  </si>
  <si>
    <t>ORD-1112</t>
  </si>
  <si>
    <t>03-08-2024</t>
  </si>
  <si>
    <t>ORD-1024</t>
  </si>
  <si>
    <t>16-07-2024</t>
  </si>
  <si>
    <t>Profit_Margin_%</t>
  </si>
  <si>
    <t>Total Sales</t>
  </si>
  <si>
    <t>Row Labels</t>
  </si>
  <si>
    <t>Grand Total</t>
  </si>
  <si>
    <t>Sum of Sales_Amount</t>
  </si>
  <si>
    <t>Month</t>
  </si>
  <si>
    <t>Aug-2024</t>
  </si>
  <si>
    <t>Dec-2024</t>
  </si>
  <si>
    <t>Jan-2025</t>
  </si>
  <si>
    <t>Jul-2024</t>
  </si>
  <si>
    <t>Nov-2024</t>
  </si>
  <si>
    <t>Oct-2024</t>
  </si>
  <si>
    <t>Sep-2024</t>
  </si>
  <si>
    <t>Sum of Total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</si>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</sst>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[$-14009]dd\ mmmm\ yyyy;@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sz val="18"/>
      <color rgb="FF000000"/>
      <name val="Times New Roman"/>
      <family val="1"/>
    </font>
    <font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22"/>
      <color theme="1" tint="4.9989318521683403E-2"/>
      <name val="Times New Roman"/>
      <family val="1"/>
    </font>
    <font>
      <b/>
      <sz val="2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66FFCC"/>
        <bgColor rgb="FF4472C4"/>
      </patternFill>
    </fill>
    <fill>
      <patternFill patternType="solid">
        <fgColor rgb="FF99FF99"/>
        <bgColor rgb="FFF9F9F9"/>
      </patternFill>
    </fill>
    <fill>
      <patternFill patternType="solid">
        <fgColor rgb="FF99FF99"/>
        <bgColor indexed="64"/>
      </patternFill>
    </fill>
    <fill>
      <patternFill patternType="solid">
        <fgColor rgb="FF66FFCC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2" fillId="0" borderId="2" xfId="0" pivotButton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" fontId="4" fillId="3" borderId="2" xfId="0" applyNumberFormat="1" applyFont="1" applyFill="1" applyBorder="1" applyAlignment="1">
      <alignment horizontal="center" vertical="center"/>
    </xf>
    <xf numFmtId="10" fontId="5" fillId="3" borderId="2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" fontId="4" fillId="3" borderId="4" xfId="0" applyNumberFormat="1" applyFont="1" applyFill="1" applyBorder="1" applyAlignment="1">
      <alignment horizontal="center" vertical="center"/>
    </xf>
    <xf numFmtId="10" fontId="5" fillId="3" borderId="4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indent="1"/>
    </xf>
    <xf numFmtId="0" fontId="8" fillId="2" borderId="3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  <fill>
        <patternFill patternType="solid">
          <bgColor rgb="FF99FF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Times New Roman"/>
        <family val="1"/>
        <scheme val="none"/>
      </font>
      <numFmt numFmtId="14" formatCode="0.00%"/>
      <fill>
        <patternFill patternType="solid">
          <fgColor rgb="FFF9F9F9"/>
          <bgColor rgb="FF99FF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fill>
        <patternFill patternType="solid">
          <fgColor rgb="FFF9F9F9"/>
          <bgColor rgb="FF99FF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numFmt numFmtId="4" formatCode="#,##0.00"/>
      <fill>
        <patternFill patternType="solid">
          <fgColor rgb="FFF9F9F9"/>
          <bgColor rgb="FF99FF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numFmt numFmtId="4" formatCode="#,##0.00"/>
      <fill>
        <patternFill patternType="solid">
          <fgColor rgb="FFF9F9F9"/>
          <bgColor rgb="FF99FF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fill>
        <patternFill patternType="solid">
          <fgColor rgb="FFF9F9F9"/>
          <bgColor rgb="FF99FF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fill>
        <patternFill patternType="solid">
          <fgColor rgb="FFF9F9F9"/>
          <bgColor rgb="FF99FF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fill>
        <patternFill patternType="solid">
          <fgColor rgb="FFF9F9F9"/>
          <bgColor rgb="FF99FF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numFmt numFmtId="0" formatCode="General"/>
      <fill>
        <patternFill patternType="solid">
          <fgColor rgb="FFF9F9F9"/>
          <bgColor rgb="FF99FF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numFmt numFmtId="164" formatCode="[$-14009]dd/mm/yyyy;@"/>
      <fill>
        <patternFill patternType="solid">
          <fgColor rgb="FFF9F9F9"/>
          <bgColor rgb="FF99FF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fill>
        <patternFill patternType="solid">
          <fgColor rgb="FFF9F9F9"/>
          <bgColor rgb="FF99FF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  <fill>
        <patternFill patternType="solid">
          <bgColor rgb="FF92D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 tint="4.9989318521683403E-2"/>
        <name val="Times New Roman"/>
        <family val="1"/>
        <scheme val="none"/>
      </font>
      <fill>
        <patternFill patternType="solid">
          <fgColor rgb="FF4472C4"/>
          <bgColor rgb="FF66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iIMES"/>
        <scheme val="none"/>
      </font>
    </dxf>
    <dxf>
      <font>
        <name val="TiIMES"/>
        <scheme val="none"/>
      </font>
    </dxf>
    <dxf>
      <font>
        <name val="TiIMES"/>
        <scheme val="none"/>
      </font>
    </dxf>
    <dxf>
      <font>
        <name val="TiIMES"/>
        <scheme val="none"/>
      </font>
    </dxf>
    <dxf>
      <font>
        <name val="TiIMES"/>
        <scheme val="none"/>
      </font>
    </dxf>
    <dxf>
      <font>
        <name val="TiIMES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9" defaultPivotStyle="PivotStyleLight16"/>
  <colors>
    <mruColors>
      <color rgb="FF99FF99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[Reail Sales Analysis ( 2024- 2025 ).xlsx]SALES BY REGION!PivotTable6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Sum of Sales_Amount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'SALES BY REGION'!$A$4:$A$20</c:f>
              <c:multiLvlStrCache>
                <c:ptCount val="12"/>
                <c:lvl>
                  <c:pt idx="0">
                    <c:v>Accessories</c:v>
                  </c:pt>
                  <c:pt idx="1">
                    <c:v>Electronics</c:v>
                  </c:pt>
                  <c:pt idx="2">
                    <c:v>Office</c:v>
                  </c:pt>
                  <c:pt idx="3">
                    <c:v>Accessories</c:v>
                  </c:pt>
                  <c:pt idx="4">
                    <c:v>Electronics</c:v>
                  </c:pt>
                  <c:pt idx="5">
                    <c:v>Office</c:v>
                  </c:pt>
                  <c:pt idx="6">
                    <c:v>Accessories</c:v>
                  </c:pt>
                  <c:pt idx="7">
                    <c:v>Electronics</c:v>
                  </c:pt>
                  <c:pt idx="8">
                    <c:v>Office</c:v>
                  </c:pt>
                  <c:pt idx="9">
                    <c:v>Accessories</c:v>
                  </c:pt>
                  <c:pt idx="10">
                    <c:v>Electronics</c:v>
                  </c:pt>
                  <c:pt idx="11">
                    <c:v>Office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'SALES BY REGION'!$B$4:$B$20</c:f>
              <c:numCache>
                <c:formatCode>#,##0.00</c:formatCode>
                <c:ptCount val="12"/>
                <c:pt idx="0">
                  <c:v>22820.2</c:v>
                </c:pt>
                <c:pt idx="1">
                  <c:v>132703.9</c:v>
                </c:pt>
                <c:pt idx="2">
                  <c:v>9341.01</c:v>
                </c:pt>
                <c:pt idx="3">
                  <c:v>18950.420000000002</c:v>
                </c:pt>
                <c:pt idx="4">
                  <c:v>227474.61000000004</c:v>
                </c:pt>
                <c:pt idx="5">
                  <c:v>10185.39</c:v>
                </c:pt>
                <c:pt idx="6">
                  <c:v>18306.299999999996</c:v>
                </c:pt>
                <c:pt idx="7">
                  <c:v>139423.83000000002</c:v>
                </c:pt>
                <c:pt idx="8">
                  <c:v>13316.68</c:v>
                </c:pt>
                <c:pt idx="9">
                  <c:v>19063.489999999998</c:v>
                </c:pt>
                <c:pt idx="10">
                  <c:v>103797.98</c:v>
                </c:pt>
                <c:pt idx="11">
                  <c:v>14546.44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1-4BE0-B789-2B7EE68FF773}"/>
            </c:ext>
          </c:extLst>
        </c:ser>
        <c:ser>
          <c:idx val="1"/>
          <c:order val="1"/>
          <c:tx>
            <c:strRef>
              <c:f>'SALES BY REGION'!$C$3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'SALES BY REGION'!$A$4:$A$20</c:f>
              <c:multiLvlStrCache>
                <c:ptCount val="12"/>
                <c:lvl>
                  <c:pt idx="0">
                    <c:v>Accessories</c:v>
                  </c:pt>
                  <c:pt idx="1">
                    <c:v>Electronics</c:v>
                  </c:pt>
                  <c:pt idx="2">
                    <c:v>Office</c:v>
                  </c:pt>
                  <c:pt idx="3">
                    <c:v>Accessories</c:v>
                  </c:pt>
                  <c:pt idx="4">
                    <c:v>Electronics</c:v>
                  </c:pt>
                  <c:pt idx="5">
                    <c:v>Office</c:v>
                  </c:pt>
                  <c:pt idx="6">
                    <c:v>Accessories</c:v>
                  </c:pt>
                  <c:pt idx="7">
                    <c:v>Electronics</c:v>
                  </c:pt>
                  <c:pt idx="8">
                    <c:v>Office</c:v>
                  </c:pt>
                  <c:pt idx="9">
                    <c:v>Accessories</c:v>
                  </c:pt>
                  <c:pt idx="10">
                    <c:v>Electronics</c:v>
                  </c:pt>
                  <c:pt idx="11">
                    <c:v>Office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'SALES BY REGION'!$C$4:$C$20</c:f>
              <c:numCache>
                <c:formatCode>#,##0.00</c:formatCode>
                <c:ptCount val="12"/>
                <c:pt idx="0">
                  <c:v>7414.72</c:v>
                </c:pt>
                <c:pt idx="1">
                  <c:v>31061.739999999998</c:v>
                </c:pt>
                <c:pt idx="2">
                  <c:v>1681.3899999999999</c:v>
                </c:pt>
                <c:pt idx="3">
                  <c:v>6146.24</c:v>
                </c:pt>
                <c:pt idx="4">
                  <c:v>55035.860000000008</c:v>
                </c:pt>
                <c:pt idx="5">
                  <c:v>1833.37</c:v>
                </c:pt>
                <c:pt idx="6">
                  <c:v>5968.5000000000009</c:v>
                </c:pt>
                <c:pt idx="7">
                  <c:v>35630.75</c:v>
                </c:pt>
                <c:pt idx="8">
                  <c:v>2397</c:v>
                </c:pt>
                <c:pt idx="9">
                  <c:v>6366.83</c:v>
                </c:pt>
                <c:pt idx="10">
                  <c:v>24406.870000000003</c:v>
                </c:pt>
                <c:pt idx="11">
                  <c:v>2618.36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2-4420-A35A-1D83CD2BE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3252832"/>
        <c:axId val="943236512"/>
      </c:barChart>
      <c:catAx>
        <c:axId val="94325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236512"/>
        <c:crosses val="autoZero"/>
        <c:auto val="1"/>
        <c:lblAlgn val="ctr"/>
        <c:lblOffset val="100"/>
        <c:noMultiLvlLbl val="0"/>
      </c:catAx>
      <c:valAx>
        <c:axId val="94323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25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[Reail Sales Analysis ( 2024- 2025 ).xlsx]SALES BY PRODUCT!PivotTable7</c:name>
    <c:fmtId val="37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PRODUCT'!$B$2</c:f>
              <c:strCache>
                <c:ptCount val="1"/>
                <c:pt idx="0">
                  <c:v>Sum of Sales_Amount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'SALES BY PRODUCT'!$A$3:$A$13</c:f>
              <c:strCache>
                <c:ptCount val="10"/>
                <c:pt idx="0">
                  <c:v>Camera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Smartphone</c:v>
                </c:pt>
                <c:pt idx="8">
                  <c:v>Speaker</c:v>
                </c:pt>
                <c:pt idx="9">
                  <c:v>Tablet</c:v>
                </c:pt>
              </c:strCache>
            </c:strRef>
          </c:cat>
          <c:val>
            <c:numRef>
              <c:f>'SALES BY PRODUCT'!$B$3:$B$13</c:f>
              <c:numCache>
                <c:formatCode>#,##0.00</c:formatCode>
                <c:ptCount val="10"/>
                <c:pt idx="0">
                  <c:v>128885.13000000002</c:v>
                </c:pt>
                <c:pt idx="1">
                  <c:v>27425.27</c:v>
                </c:pt>
                <c:pt idx="2">
                  <c:v>14797.239999999998</c:v>
                </c:pt>
                <c:pt idx="3">
                  <c:v>166264.07</c:v>
                </c:pt>
                <c:pt idx="4">
                  <c:v>62900.54</c:v>
                </c:pt>
                <c:pt idx="5">
                  <c:v>10823.380000000001</c:v>
                </c:pt>
                <c:pt idx="6">
                  <c:v>47389.520000000004</c:v>
                </c:pt>
                <c:pt idx="7">
                  <c:v>156899.00999999995</c:v>
                </c:pt>
                <c:pt idx="8">
                  <c:v>26094.520000000008</c:v>
                </c:pt>
                <c:pt idx="9">
                  <c:v>88451.569999999978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C-4014-88C7-1F2EA317505B}"/>
            </c:ext>
          </c:extLst>
        </c:ser>
        <c:ser>
          <c:idx val="1"/>
          <c:order val="1"/>
          <c:tx>
            <c:strRef>
              <c:f>'SALES BY PRODUCT'!$C$2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'SALES BY PRODUCT'!$A$3:$A$13</c:f>
              <c:strCache>
                <c:ptCount val="10"/>
                <c:pt idx="0">
                  <c:v>Camera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Smartphone</c:v>
                </c:pt>
                <c:pt idx="8">
                  <c:v>Speaker</c:v>
                </c:pt>
                <c:pt idx="9">
                  <c:v>Tablet</c:v>
                </c:pt>
              </c:strCache>
            </c:strRef>
          </c:cat>
          <c:val>
            <c:numRef>
              <c:f>'SALES BY PRODUCT'!$C$3:$C$13</c:f>
              <c:numCache>
                <c:formatCode>#,##0.00</c:formatCode>
                <c:ptCount val="10"/>
                <c:pt idx="0">
                  <c:v>30932.42</c:v>
                </c:pt>
                <c:pt idx="1">
                  <c:v>8776.0700000000015</c:v>
                </c:pt>
                <c:pt idx="2">
                  <c:v>5179</c:v>
                </c:pt>
                <c:pt idx="3">
                  <c:v>36578.090000000004</c:v>
                </c:pt>
                <c:pt idx="4">
                  <c:v>12580.100000000002</c:v>
                </c:pt>
                <c:pt idx="5">
                  <c:v>4112.8799999999992</c:v>
                </c:pt>
                <c:pt idx="6">
                  <c:v>8530.119999999999</c:v>
                </c:pt>
                <c:pt idx="7">
                  <c:v>43931.72</c:v>
                </c:pt>
                <c:pt idx="8">
                  <c:v>7828.34</c:v>
                </c:pt>
                <c:pt idx="9">
                  <c:v>22112.89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C-4014-88C7-1F2EA3175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0039727"/>
        <c:axId val="1920041167"/>
      </c:barChart>
      <c:catAx>
        <c:axId val="192003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041167"/>
        <c:crosses val="autoZero"/>
        <c:auto val="1"/>
        <c:lblAlgn val="ctr"/>
        <c:lblOffset val="100"/>
        <c:noMultiLvlLbl val="0"/>
      </c:catAx>
      <c:valAx>
        <c:axId val="192004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03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[Reail Sales Analysis ( 2024- 2025 ).xlsx]MONTHLY SALES TREND!PivotTable11</c:name>
    <c:fmtId val="55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TREND'!$B$2</c:f>
              <c:strCache>
                <c:ptCount val="1"/>
                <c:pt idx="0">
                  <c:v>Sum of 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'MONTHLY SALES TREND'!$A$3:$A$10</c:f>
              <c:strCache>
                <c:ptCount val="7"/>
                <c:pt idx="0">
                  <c:v>Aug-2024</c:v>
                </c:pt>
                <c:pt idx="1">
                  <c:v>Dec-2024</c:v>
                </c:pt>
                <c:pt idx="2">
                  <c:v>Jan-2025</c:v>
                </c:pt>
                <c:pt idx="3">
                  <c:v>Jul-2024</c:v>
                </c:pt>
                <c:pt idx="4">
                  <c:v>Nov-2024</c:v>
                </c:pt>
                <c:pt idx="5">
                  <c:v>Oct-2024</c:v>
                </c:pt>
                <c:pt idx="6">
                  <c:v>Sep-2024</c:v>
                </c:pt>
              </c:strCache>
            </c:strRef>
          </c:cat>
          <c:val>
            <c:numRef>
              <c:f>'MONTHLY SALES TREND'!$B$3:$B$10</c:f>
              <c:numCache>
                <c:formatCode>General</c:formatCode>
                <c:ptCount val="7"/>
                <c:pt idx="0">
                  <c:v>2120254.2700000005</c:v>
                </c:pt>
                <c:pt idx="1">
                  <c:v>1225290.21</c:v>
                </c:pt>
                <c:pt idx="2">
                  <c:v>799746.62999999989</c:v>
                </c:pt>
                <c:pt idx="3">
                  <c:v>1004565.0700000001</c:v>
                </c:pt>
                <c:pt idx="4">
                  <c:v>2315310.67</c:v>
                </c:pt>
                <c:pt idx="5">
                  <c:v>1311279.2200000002</c:v>
                </c:pt>
                <c:pt idx="6">
                  <c:v>1313583.7200000002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9-44D8-835D-35A346C1DB20}"/>
            </c:ext>
          </c:extLst>
        </c:ser>
        <c:ser>
          <c:idx val="1"/>
          <c:order val="1"/>
          <c:tx>
            <c:strRef>
              <c:f>'MONTHLY SALES TREND'!$C$2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'MONTHLY SALES TREND'!$A$3:$A$10</c:f>
              <c:strCache>
                <c:ptCount val="7"/>
                <c:pt idx="0">
                  <c:v>Aug-2024</c:v>
                </c:pt>
                <c:pt idx="1">
                  <c:v>Dec-2024</c:v>
                </c:pt>
                <c:pt idx="2">
                  <c:v>Jan-2025</c:v>
                </c:pt>
                <c:pt idx="3">
                  <c:v>Jul-2024</c:v>
                </c:pt>
                <c:pt idx="4">
                  <c:v>Nov-2024</c:v>
                </c:pt>
                <c:pt idx="5">
                  <c:v>Oct-2024</c:v>
                </c:pt>
                <c:pt idx="6">
                  <c:v>Sep-2024</c:v>
                </c:pt>
              </c:strCache>
            </c:strRef>
          </c:cat>
          <c:val>
            <c:numRef>
              <c:f>'MONTHLY SALES TREND'!$C$3:$C$10</c:f>
              <c:numCache>
                <c:formatCode>#,##0.00</c:formatCode>
                <c:ptCount val="7"/>
                <c:pt idx="0">
                  <c:v>35476.400000000009</c:v>
                </c:pt>
                <c:pt idx="1">
                  <c:v>22844.690000000006</c:v>
                </c:pt>
                <c:pt idx="2">
                  <c:v>15262.540000000003</c:v>
                </c:pt>
                <c:pt idx="3">
                  <c:v>21257.54</c:v>
                </c:pt>
                <c:pt idx="4">
                  <c:v>36250.050000000003</c:v>
                </c:pt>
                <c:pt idx="5">
                  <c:v>24727.53</c:v>
                </c:pt>
                <c:pt idx="6">
                  <c:v>24742.880000000001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49-44D8-835D-35A346C1D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22299200"/>
        <c:axId val="222300160"/>
      </c:barChart>
      <c:catAx>
        <c:axId val="22229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300160"/>
        <c:crosses val="autoZero"/>
        <c:auto val="1"/>
        <c:lblAlgn val="ctr"/>
        <c:lblOffset val="100"/>
        <c:noMultiLvlLbl val="0"/>
      </c:catAx>
      <c:valAx>
        <c:axId val="22230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29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990014</xdr:colOff>
      <xdr:row>2</xdr:row>
      <xdr:rowOff>91733</xdr:rowOff>
    </xdr:from>
    <xdr:to>
      <xdr:col>14</xdr:col>
      <xdr:colOff>400538</xdr:colOff>
      <xdr:row>16</xdr:row>
      <xdr:rowOff>107462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1A97A7-9F80-07FB-65EF-18FD6194D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399738</xdr:colOff>
      <xdr:row>1</xdr:row>
      <xdr:rowOff>39974</xdr:rowOff>
    </xdr:from>
    <xdr:to>
      <xdr:col>19</xdr:col>
      <xdr:colOff>599607</xdr:colOff>
      <xdr:row>15</xdr:row>
      <xdr:rowOff>37475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5DD515-098C-5950-06F7-5AEA6C848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23813</xdr:colOff>
      <xdr:row>1</xdr:row>
      <xdr:rowOff>23812</xdr:rowOff>
    </xdr:from>
    <xdr:to>
      <xdr:col>18</xdr:col>
      <xdr:colOff>404813</xdr:colOff>
      <xdr:row>20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411610-4437-1A68-60EA-F9FFDC9FC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SWAJIT ROY CHOUDHURY" refreshedDate="46143.616098379629" createdVersion="8" refreshedVersion="8" minRefreshableVersion="3" recordCount="200" xr:uid="{765A2611-BDB9-4F94-8705-7ACA8D91B905}">
  <cacheSource type="worksheet">
    <worksheetSource ref="A1:K201" sheet="CLEANED DATA"/>
  </cacheSource>
  <cacheFields count="11">
    <cacheField name="Order_ID" numFmtId="0">
      <sharedItems/>
    </cacheField>
    <cacheField name="Order_Date" numFmtId="164">
      <sharedItems containsDate="1" containsMixedTypes="1" minDate="2024-07-05T00:00:00" maxDate="2025-01-20T00:00:00" count="200">
        <s v="04-07-2024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</sharedItems>
      <fieldGroup par="10"/>
    </cacheField>
    <cacheField name="Region" numFmtId="0">
      <sharedItems count="4">
        <s v="South"/>
        <s v="East"/>
        <s v="North"/>
        <s v="West"/>
      </sharedItems>
    </cacheField>
    <cacheField name="Product" numFmtId="0">
      <sharedItems count="10">
        <s v="Keyboard"/>
        <s v="Tablet"/>
        <s v="Camera"/>
        <s v="Speaker"/>
        <s v="Mouse"/>
        <s v="Monitor"/>
        <s v="Printer"/>
        <s v="Smartphone"/>
        <s v="Headphones"/>
        <s v="Laptop"/>
      </sharedItems>
    </cacheField>
    <cacheField name="Category" numFmtId="0">
      <sharedItems count="3">
        <s v="Accessories"/>
        <s v="Electronics"/>
        <s v="Office"/>
      </sharedItems>
    </cacheField>
    <cacheField name="Sales_Amount" numFmtId="4">
      <sharedItems containsSemiMixedTypes="0" containsString="0" containsNumber="1" minValue="43.87" maxValue="19542.2"/>
    </cacheField>
    <cacheField name="Profit" numFmtId="4">
      <sharedItems containsSemiMixedTypes="0" containsString="0" containsNumber="1" minValue="16.670000000000002" maxValue="4299.28"/>
    </cacheField>
    <cacheField name="Quantity" numFmtId="0">
      <sharedItems containsSemiMixedTypes="0" containsString="0" containsNumber="1" containsInteger="1" minValue="1" maxValue="20"/>
    </cacheField>
    <cacheField name="Profit_Margin_%" numFmtId="10">
      <sharedItems containsSemiMixedTypes="0" containsString="0" containsNumber="1" minValue="0.17999718864211414" maxValue="0.38001876172607879"/>
    </cacheField>
    <cacheField name="Total Sales" numFmtId="0">
      <sharedItems containsSemiMixedTypes="0" containsString="0" containsNumber="1" minValue="43.87" maxValue="390844"/>
    </cacheField>
    <cacheField name="Order_Date2" numFmtId="0" databaseField="0">
      <fieldGroup base="1">
        <discretePr count="200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SWAJIT ROY CHOUDHURY" refreshedDate="46144.560070254629" createdVersion="8" refreshedVersion="8" minRefreshableVersion="3" recordCount="200" xr:uid="{AE3A3A44-6495-4F0F-B57B-A9A7E10D5873}">
  <cacheSource type="worksheet">
    <worksheetSource name="Table1"/>
  </cacheSource>
  <cacheFields count="11">
    <cacheField name="Order_ID" numFmtId="0">
      <sharedItems count="200">
        <s v="ORD-1031"/>
        <s v="ORD-1166"/>
        <s v="ORD-1058"/>
        <s v="ORD-1158"/>
        <s v="ORD-1113"/>
        <s v="ORD-1149"/>
        <s v="ORD-1127"/>
        <s v="ORD-1190"/>
        <s v="ORD-1095"/>
        <s v="ORD-1142"/>
        <s v="ORD-1130"/>
        <s v="ORD-1001"/>
        <s v="ORD-1173"/>
        <s v="ORD-1137"/>
        <s v="ORD-1107"/>
        <s v="ORD-1172"/>
        <s v="ORD-1186"/>
        <s v="ORD-1103"/>
        <s v="ORD-1161"/>
        <s v="ORD-1177"/>
        <s v="ORD-1138"/>
        <s v="ORD-1086"/>
        <s v="ORD-1067"/>
        <s v="ORD-1180"/>
        <s v="ORD-1152"/>
        <s v="ORD-1052"/>
        <s v="ORD-1104"/>
        <s v="ORD-1073"/>
        <s v="ORD-1088"/>
        <s v="ORD-1148"/>
        <s v="ORD-1056"/>
        <s v="ORD-1080"/>
        <s v="ORD-1155"/>
        <s v="ORD-1143"/>
        <s v="ORD-1185"/>
        <s v="ORD-1141"/>
        <s v="ORD-1064"/>
        <s v="ORD-1050"/>
        <s v="ORD-1082"/>
        <s v="ORD-1125"/>
        <s v="ORD-1162"/>
        <s v="ORD-1046"/>
        <s v="ORD-1100"/>
        <s v="ORD-1110"/>
        <s v="ORD-1027"/>
        <s v="ORD-1055"/>
        <s v="ORD-1019"/>
        <s v="ORD-1156"/>
        <s v="ORD-1200"/>
        <s v="ORD-1079"/>
        <s v="ORD-1129"/>
        <s v="ORD-1048"/>
        <s v="ORD-1105"/>
        <s v="ORD-1083"/>
        <s v="ORD-1007"/>
        <s v="ORD-1197"/>
        <s v="ORD-1032"/>
        <s v="ORD-1020"/>
        <s v="ORD-1188"/>
        <s v="ORD-1187"/>
        <s v="ORD-1139"/>
        <s v="ORD-1018"/>
        <s v="ORD-1146"/>
        <s v="ORD-1053"/>
        <s v="ORD-1039"/>
        <s v="ORD-1097"/>
        <s v="ORD-1009"/>
        <s v="ORD-1121"/>
        <s v="ORD-1116"/>
        <s v="ORD-1090"/>
        <s v="ORD-1004"/>
        <s v="ORD-1147"/>
        <s v="ORD-1030"/>
        <s v="ORD-1014"/>
        <s v="ORD-1081"/>
        <s v="ORD-1132"/>
        <s v="ORD-1123"/>
        <s v="ORD-1085"/>
        <s v="ORD-1135"/>
        <s v="ORD-1016"/>
        <s v="ORD-1069"/>
        <s v="ORD-1034"/>
        <s v="ORD-1002"/>
        <s v="ORD-1134"/>
        <s v="ORD-1170"/>
        <s v="ORD-1108"/>
        <s v="ORD-1072"/>
        <s v="ORD-1179"/>
        <s v="ORD-1093"/>
        <s v="ORD-1087"/>
        <s v="ORD-1029"/>
        <s v="ORD-1160"/>
        <s v="ORD-1010"/>
        <s v="ORD-1171"/>
        <s v="ORD-1194"/>
        <s v="ORD-1182"/>
        <s v="ORD-1115"/>
        <s v="ORD-1167"/>
        <s v="ORD-1176"/>
        <s v="ORD-1033"/>
        <s v="ORD-1022"/>
        <s v="ORD-1035"/>
        <s v="ORD-1131"/>
        <s v="ORD-1068"/>
        <s v="ORD-1122"/>
        <s v="ORD-1070"/>
        <s v="ORD-1126"/>
        <s v="ORD-1169"/>
        <s v="ORD-1044"/>
        <s v="ORD-1023"/>
        <s v="ORD-1054"/>
        <s v="ORD-1191"/>
        <s v="ORD-1042"/>
        <s v="ORD-1189"/>
        <s v="ORD-1153"/>
        <s v="ORD-1196"/>
        <s v="ORD-1017"/>
        <s v="ORD-1094"/>
        <s v="ORD-1183"/>
        <s v="ORD-1075"/>
        <s v="ORD-1005"/>
        <s v="ORD-1133"/>
        <s v="ORD-1101"/>
        <s v="ORD-1040"/>
        <s v="ORD-1011"/>
        <s v="ORD-1025"/>
        <s v="ORD-1036"/>
        <s v="ORD-1154"/>
        <s v="ORD-1049"/>
        <s v="ORD-1057"/>
        <s v="ORD-1091"/>
        <s v="ORD-1059"/>
        <s v="ORD-1015"/>
        <s v="ORD-1174"/>
        <s v="ORD-1013"/>
        <s v="ORD-1165"/>
        <s v="ORD-1071"/>
        <s v="ORD-1102"/>
        <s v="ORD-1006"/>
        <s v="ORD-1144"/>
        <s v="ORD-1193"/>
        <s v="ORD-1192"/>
        <s v="ORD-1199"/>
        <s v="ORD-1061"/>
        <s v="ORD-1028"/>
        <s v="ORD-1124"/>
        <s v="ORD-1099"/>
        <s v="ORD-1051"/>
        <s v="ORD-1078"/>
        <s v="ORD-1117"/>
        <s v="ORD-1065"/>
        <s v="ORD-1109"/>
        <s v="ORD-1198"/>
        <s v="ORD-1151"/>
        <s v="ORD-1089"/>
        <s v="ORD-1041"/>
        <s v="ORD-1140"/>
        <s v="ORD-1074"/>
        <s v="ORD-1120"/>
        <s v="ORD-1003"/>
        <s v="ORD-1168"/>
        <s v="ORD-1118"/>
        <s v="ORD-1066"/>
        <s v="ORD-1164"/>
        <s v="ORD-1119"/>
        <s v="ORD-1060"/>
        <s v="ORD-1037"/>
        <s v="ORD-1150"/>
        <s v="ORD-1128"/>
        <s v="ORD-1062"/>
        <s v="ORD-1184"/>
        <s v="ORD-1159"/>
        <s v="ORD-1098"/>
        <s v="ORD-1157"/>
        <s v="ORD-1021"/>
        <s v="ORD-1045"/>
        <s v="ORD-1047"/>
        <s v="ORD-1175"/>
        <s v="ORD-1145"/>
        <s v="ORD-1106"/>
        <s v="ORD-1136"/>
        <s v="ORD-1063"/>
        <s v="ORD-1038"/>
        <s v="ORD-1111"/>
        <s v="ORD-1096"/>
        <s v="ORD-1092"/>
        <s v="ORD-1076"/>
        <s v="ORD-1084"/>
        <s v="ORD-1012"/>
        <s v="ORD-1008"/>
        <s v="ORD-1077"/>
        <s v="ORD-1178"/>
        <s v="ORD-1043"/>
        <s v="ORD-1114"/>
        <s v="ORD-1181"/>
        <s v="ORD-1163"/>
        <s v="ORD-1195"/>
        <s v="ORD-1026"/>
        <s v="ORD-1112"/>
        <s v="ORD-1024"/>
      </sharedItems>
    </cacheField>
    <cacheField name="Order_Date" numFmtId="165">
      <sharedItems containsSemiMixedTypes="0" containsNonDate="0" containsDate="1" containsString="0" minDate="2024-07-04T00:00:00" maxDate="2025-01-20T00:00:00"/>
    </cacheField>
    <cacheField name="Month" numFmtId="0">
      <sharedItems count="7">
        <s v="Jul-2024"/>
        <s v="Aug-2024"/>
        <s v="Sep-2024"/>
        <s v="Oct-2024"/>
        <s v="Nov-2024"/>
        <s v="Dec-2024"/>
        <s v="Jan-2025"/>
      </sharedItems>
    </cacheField>
    <cacheField name="Region" numFmtId="0">
      <sharedItems count="4">
        <s v="South"/>
        <s v="East"/>
        <s v="North"/>
        <s v="West"/>
      </sharedItems>
    </cacheField>
    <cacheField name="Product" numFmtId="0">
      <sharedItems count="10">
        <s v="Keyboard"/>
        <s v="Tablet"/>
        <s v="Camera"/>
        <s v="Speaker"/>
        <s v="Mouse"/>
        <s v="Monitor"/>
        <s v="Printer"/>
        <s v="Smartphone"/>
        <s v="Headphones"/>
        <s v="Laptop"/>
      </sharedItems>
    </cacheField>
    <cacheField name="Category" numFmtId="0">
      <sharedItems count="3">
        <s v="Accessories"/>
        <s v="Electronics"/>
        <s v="Office"/>
      </sharedItems>
    </cacheField>
    <cacheField name="Sales_Amount" numFmtId="4">
      <sharedItems containsSemiMixedTypes="0" containsString="0" containsNumber="1" minValue="43.87" maxValue="19542.2"/>
    </cacheField>
    <cacheField name="Profit" numFmtId="4">
      <sharedItems containsSemiMixedTypes="0" containsString="0" containsNumber="1" minValue="16.670000000000002" maxValue="4299.28"/>
    </cacheField>
    <cacheField name="Quantity" numFmtId="0">
      <sharedItems containsSemiMixedTypes="0" containsString="0" containsNumber="1" containsInteger="1" minValue="1" maxValue="20"/>
    </cacheField>
    <cacheField name="Profit_Margin_%" numFmtId="10">
      <sharedItems containsSemiMixedTypes="0" containsString="0" containsNumber="1" minValue="0.17999718864211414" maxValue="0.38001876172607879"/>
    </cacheField>
    <cacheField name="Total Sales" numFmtId="0">
      <sharedItems containsSemiMixedTypes="0" containsString="0" containsNumber="1" minValue="43.87" maxValue="3908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-1031"/>
    <x v="0"/>
    <x v="0"/>
    <x v="0"/>
    <x v="0"/>
    <n v="147.56"/>
    <n v="51.65"/>
    <n v="2"/>
    <n v="0.35002710761724043"/>
    <n v="295.12"/>
  </r>
  <r>
    <s v="ORD-1166"/>
    <x v="1"/>
    <x v="1"/>
    <x v="1"/>
    <x v="1"/>
    <n v="1960.7"/>
    <n v="490.18"/>
    <n v="5"/>
    <n v="0.25000255010965472"/>
    <n v="9803.5"/>
  </r>
  <r>
    <s v="ORD-1058"/>
    <x v="2"/>
    <x v="1"/>
    <x v="2"/>
    <x v="1"/>
    <n v="3280.59"/>
    <n v="787.34"/>
    <n v="9"/>
    <n v="0.23999951228285155"/>
    <n v="29525.31"/>
  </r>
  <r>
    <s v="ORD-1158"/>
    <x v="3"/>
    <x v="0"/>
    <x v="3"/>
    <x v="0"/>
    <n v="2458.54"/>
    <n v="737.56"/>
    <n v="17"/>
    <n v="0.29999918650906632"/>
    <n v="41795.18"/>
  </r>
  <r>
    <s v="ORD-1113"/>
    <x v="4"/>
    <x v="1"/>
    <x v="4"/>
    <x v="0"/>
    <n v="718.9"/>
    <n v="273.18"/>
    <n v="13"/>
    <n v="0.37999721797190156"/>
    <n v="9345.6999999999989"/>
  </r>
  <r>
    <s v="ORD-1149"/>
    <x v="5"/>
    <x v="1"/>
    <x v="3"/>
    <x v="0"/>
    <n v="659.88"/>
    <n v="197.96"/>
    <n v="4"/>
    <n v="0.29999393829181065"/>
    <n v="2639.52"/>
  </r>
  <r>
    <s v="ORD-1127"/>
    <x v="6"/>
    <x v="2"/>
    <x v="3"/>
    <x v="0"/>
    <n v="1534.1"/>
    <n v="460.23"/>
    <n v="10"/>
    <n v="0.30000000000000004"/>
    <n v="15341"/>
  </r>
  <r>
    <s v="ORD-1190"/>
    <x v="7"/>
    <x v="1"/>
    <x v="4"/>
    <x v="0"/>
    <n v="970.92"/>
    <n v="368.95"/>
    <n v="18"/>
    <n v="0.38000041198038975"/>
    <n v="17476.559999999998"/>
  </r>
  <r>
    <s v="ORD-1095"/>
    <x v="8"/>
    <x v="3"/>
    <x v="5"/>
    <x v="1"/>
    <n v="2200.08"/>
    <n v="440.02"/>
    <n v="6"/>
    <n v="0.20000181811570489"/>
    <n v="13200.48"/>
  </r>
  <r>
    <s v="ORD-1142"/>
    <x v="9"/>
    <x v="3"/>
    <x v="6"/>
    <x v="2"/>
    <n v="4079.55"/>
    <n v="734.32"/>
    <n v="15"/>
    <n v="0.18000024512507506"/>
    <n v="61193.25"/>
  </r>
  <r>
    <s v="ORD-1130"/>
    <x v="10"/>
    <x v="2"/>
    <x v="7"/>
    <x v="1"/>
    <n v="7270.68"/>
    <n v="2035.79"/>
    <n v="12"/>
    <n v="0.27999994498451314"/>
    <n v="87248.16"/>
  </r>
  <r>
    <s v="ORD-1001"/>
    <x v="11"/>
    <x v="2"/>
    <x v="7"/>
    <x v="1"/>
    <n v="4986.72"/>
    <n v="1396.28"/>
    <n v="9"/>
    <n v="0.27999967914781659"/>
    <n v="44880.480000000003"/>
  </r>
  <r>
    <s v="ORD-1173"/>
    <x v="12"/>
    <x v="3"/>
    <x v="8"/>
    <x v="0"/>
    <n v="356.76"/>
    <n v="114.16"/>
    <n v="3"/>
    <n v="0.31999103038457227"/>
    <n v="1070.28"/>
  </r>
  <r>
    <s v="ORD-1137"/>
    <x v="13"/>
    <x v="3"/>
    <x v="3"/>
    <x v="0"/>
    <n v="1416.69"/>
    <n v="425.01"/>
    <n v="11"/>
    <n v="0.30000211761218049"/>
    <n v="15583.59"/>
  </r>
  <r>
    <s v="ORD-1107"/>
    <x v="14"/>
    <x v="3"/>
    <x v="2"/>
    <x v="1"/>
    <n v="2983.6"/>
    <n v="716.06"/>
    <n v="8"/>
    <n v="0.23999865933771283"/>
    <n v="23868.799999999999"/>
  </r>
  <r>
    <s v="ORD-1172"/>
    <x v="15"/>
    <x v="3"/>
    <x v="6"/>
    <x v="2"/>
    <n v="2034.99"/>
    <n v="366.3"/>
    <n v="9"/>
    <n v="0.18000088452523108"/>
    <n v="18314.91"/>
  </r>
  <r>
    <s v="ORD-1186"/>
    <x v="16"/>
    <x v="3"/>
    <x v="5"/>
    <x v="1"/>
    <n v="5628.42"/>
    <n v="1125.68"/>
    <n v="18"/>
    <n v="0.19999928932098174"/>
    <n v="101311.56"/>
  </r>
  <r>
    <s v="ORD-1103"/>
    <x v="17"/>
    <x v="0"/>
    <x v="6"/>
    <x v="2"/>
    <n v="3938.55"/>
    <n v="708.94"/>
    <n v="15"/>
    <n v="0.18000025390054716"/>
    <n v="59078.25"/>
  </r>
  <r>
    <s v="ORD-1161"/>
    <x v="18"/>
    <x v="0"/>
    <x v="7"/>
    <x v="1"/>
    <n v="4330.32"/>
    <n v="1212.49"/>
    <n v="8"/>
    <n v="0.28000009237192636"/>
    <n v="34642.559999999998"/>
  </r>
  <r>
    <s v="ORD-1177"/>
    <x v="19"/>
    <x v="2"/>
    <x v="4"/>
    <x v="0"/>
    <n v="721.11"/>
    <n v="274.02"/>
    <n v="13"/>
    <n v="0.37999750384823394"/>
    <n v="9374.43"/>
  </r>
  <r>
    <s v="ORD-1138"/>
    <x v="20"/>
    <x v="3"/>
    <x v="1"/>
    <x v="1"/>
    <n v="3012.8"/>
    <n v="753.2"/>
    <n v="7"/>
    <n v="0.25"/>
    <n v="21089.600000000002"/>
  </r>
  <r>
    <s v="ORD-1086"/>
    <x v="21"/>
    <x v="3"/>
    <x v="7"/>
    <x v="1"/>
    <n v="10339.99"/>
    <n v="2895.2"/>
    <n v="19"/>
    <n v="0.28000027079329864"/>
    <n v="196459.81"/>
  </r>
  <r>
    <s v="ORD-1067"/>
    <x v="22"/>
    <x v="0"/>
    <x v="2"/>
    <x v="1"/>
    <n v="3364.29"/>
    <n v="807.43"/>
    <n v="9"/>
    <n v="0.24000011889581455"/>
    <n v="30278.61"/>
  </r>
  <r>
    <s v="ORD-1180"/>
    <x v="23"/>
    <x v="0"/>
    <x v="0"/>
    <x v="0"/>
    <n v="785.1"/>
    <n v="274.77999999999997"/>
    <n v="10"/>
    <n v="0.34999363138453693"/>
    <n v="7851"/>
  </r>
  <r>
    <s v="ORD-1152"/>
    <x v="24"/>
    <x v="1"/>
    <x v="2"/>
    <x v="1"/>
    <n v="2082.6999999999998"/>
    <n v="499.85"/>
    <n v="5"/>
    <n v="0.24000096029192877"/>
    <n v="10413.5"/>
  </r>
  <r>
    <s v="ORD-1052"/>
    <x v="25"/>
    <x v="0"/>
    <x v="1"/>
    <x v="1"/>
    <n v="4118.8999999999996"/>
    <n v="1029.72"/>
    <n v="10"/>
    <n v="0.24999878608366313"/>
    <n v="41189"/>
  </r>
  <r>
    <s v="ORD-1104"/>
    <x v="26"/>
    <x v="1"/>
    <x v="3"/>
    <x v="0"/>
    <n v="2326.0500000000002"/>
    <n v="697.82"/>
    <n v="15"/>
    <n v="0.30000214956686228"/>
    <n v="34890.75"/>
  </r>
  <r>
    <s v="ORD-1073"/>
    <x v="27"/>
    <x v="2"/>
    <x v="1"/>
    <x v="1"/>
    <n v="5533.68"/>
    <n v="1383.42"/>
    <n v="12"/>
    <n v="0.25"/>
    <n v="66404.160000000003"/>
  </r>
  <r>
    <s v="ORD-1088"/>
    <x v="28"/>
    <x v="1"/>
    <x v="5"/>
    <x v="1"/>
    <n v="4267.8999999999996"/>
    <n v="853.58"/>
    <n v="14"/>
    <n v="0.20000000000000004"/>
    <n v="59750.599999999991"/>
  </r>
  <r>
    <s v="ORD-1148"/>
    <x v="29"/>
    <x v="0"/>
    <x v="1"/>
    <x v="1"/>
    <n v="3375.47"/>
    <n v="843.87"/>
    <n v="7"/>
    <n v="0.25000074063760014"/>
    <n v="23628.289999999997"/>
  </r>
  <r>
    <s v="ORD-1056"/>
    <x v="30"/>
    <x v="2"/>
    <x v="8"/>
    <x v="0"/>
    <n v="2106.34"/>
    <n v="674.03"/>
    <n v="19"/>
    <n v="0.32000056970859403"/>
    <n v="40020.460000000006"/>
  </r>
  <r>
    <s v="ORD-1080"/>
    <x v="31"/>
    <x v="3"/>
    <x v="5"/>
    <x v="1"/>
    <n v="3954.6"/>
    <n v="790.92"/>
    <n v="12"/>
    <n v="0.19999999999999998"/>
    <n v="47455.199999999997"/>
  </r>
  <r>
    <s v="ORD-1155"/>
    <x v="32"/>
    <x v="2"/>
    <x v="6"/>
    <x v="2"/>
    <n v="727.65"/>
    <n v="130.97999999999999"/>
    <n v="3"/>
    <n v="0.18000412286126571"/>
    <n v="2182.9499999999998"/>
  </r>
  <r>
    <s v="ORD-1143"/>
    <x v="33"/>
    <x v="0"/>
    <x v="0"/>
    <x v="0"/>
    <n v="1099.8"/>
    <n v="384.93"/>
    <n v="13"/>
    <n v="0.35000000000000003"/>
    <n v="14297.4"/>
  </r>
  <r>
    <s v="ORD-1185"/>
    <x v="34"/>
    <x v="1"/>
    <x v="2"/>
    <x v="1"/>
    <n v="6162.38"/>
    <n v="1478.97"/>
    <n v="14"/>
    <n v="0.23999980527004178"/>
    <n v="86273.32"/>
  </r>
  <r>
    <s v="ORD-1141"/>
    <x v="35"/>
    <x v="3"/>
    <x v="5"/>
    <x v="1"/>
    <n v="5692.64"/>
    <n v="1138.53"/>
    <n v="16"/>
    <n v="0.20000035133084121"/>
    <n v="91082.240000000005"/>
  </r>
  <r>
    <s v="ORD-1064"/>
    <x v="36"/>
    <x v="1"/>
    <x v="2"/>
    <x v="1"/>
    <n v="9161.2000000000007"/>
    <n v="2198.69"/>
    <n v="20"/>
    <n v="0.24000021831201152"/>
    <n v="183224"/>
  </r>
  <r>
    <s v="ORD-1050"/>
    <x v="37"/>
    <x v="2"/>
    <x v="8"/>
    <x v="0"/>
    <n v="1450.15"/>
    <n v="464.05"/>
    <n v="13"/>
    <n v="0.3200013791676723"/>
    <n v="18851.95"/>
  </r>
  <r>
    <s v="ORD-1082"/>
    <x v="38"/>
    <x v="1"/>
    <x v="7"/>
    <x v="1"/>
    <n v="7505.64"/>
    <n v="2101.58"/>
    <n v="12"/>
    <n v="0.28000010658651359"/>
    <n v="90067.680000000008"/>
  </r>
  <r>
    <s v="ORD-1125"/>
    <x v="39"/>
    <x v="0"/>
    <x v="7"/>
    <x v="1"/>
    <n v="9538.5"/>
    <n v="2670.78"/>
    <n v="15"/>
    <n v="0.28000000000000003"/>
    <n v="143077.5"/>
  </r>
  <r>
    <s v="ORD-1162"/>
    <x v="40"/>
    <x v="2"/>
    <x v="1"/>
    <x v="1"/>
    <n v="6206.48"/>
    <n v="1551.62"/>
    <n v="14"/>
    <n v="0.25"/>
    <n v="86890.72"/>
  </r>
  <r>
    <s v="ORD-1046"/>
    <x v="41"/>
    <x v="0"/>
    <x v="8"/>
    <x v="0"/>
    <n v="1067.8499999999999"/>
    <n v="341.71"/>
    <n v="9"/>
    <n v="0.31999812707777309"/>
    <n v="9610.65"/>
  </r>
  <r>
    <s v="ORD-1100"/>
    <x v="42"/>
    <x v="3"/>
    <x v="8"/>
    <x v="0"/>
    <n v="1440.14"/>
    <n v="460.84"/>
    <n v="13"/>
    <n v="0.31999666699070922"/>
    <n v="18721.82"/>
  </r>
  <r>
    <s v="ORD-1110"/>
    <x v="43"/>
    <x v="0"/>
    <x v="1"/>
    <x v="1"/>
    <n v="1315.53"/>
    <n v="328.88"/>
    <n v="3"/>
    <n v="0.24999809962524611"/>
    <n v="3946.59"/>
  </r>
  <r>
    <s v="ORD-1027"/>
    <x v="44"/>
    <x v="1"/>
    <x v="9"/>
    <x v="1"/>
    <n v="15585.6"/>
    <n v="3428.83"/>
    <n v="17"/>
    <n v="0.21999987167641924"/>
    <n v="264955.2"/>
  </r>
  <r>
    <s v="ORD-1055"/>
    <x v="45"/>
    <x v="2"/>
    <x v="1"/>
    <x v="1"/>
    <n v="7833.4"/>
    <n v="1958.35"/>
    <n v="20"/>
    <n v="0.25"/>
    <n v="156668"/>
  </r>
  <r>
    <s v="ORD-1019"/>
    <x v="46"/>
    <x v="0"/>
    <x v="6"/>
    <x v="2"/>
    <n v="2006.73"/>
    <n v="361.21"/>
    <n v="9"/>
    <n v="0.17999930234760031"/>
    <n v="18060.57"/>
  </r>
  <r>
    <s v="ORD-1156"/>
    <x v="47"/>
    <x v="2"/>
    <x v="3"/>
    <x v="0"/>
    <n v="671.05"/>
    <n v="201.31"/>
    <n v="5"/>
    <n v="0.29999254899038824"/>
    <n v="3355.25"/>
  </r>
  <r>
    <s v="ORD-1200"/>
    <x v="48"/>
    <x v="2"/>
    <x v="2"/>
    <x v="1"/>
    <n v="6964.2"/>
    <n v="1671.41"/>
    <n v="20"/>
    <n v="0.24000028718302177"/>
    <n v="139284"/>
  </r>
  <r>
    <s v="ORD-1079"/>
    <x v="49"/>
    <x v="3"/>
    <x v="7"/>
    <x v="1"/>
    <n v="1329.1"/>
    <n v="372.15"/>
    <n v="2"/>
    <n v="0.28000150477766911"/>
    <n v="2658.2"/>
  </r>
  <r>
    <s v="ORD-1129"/>
    <x v="50"/>
    <x v="2"/>
    <x v="5"/>
    <x v="1"/>
    <n v="3867.8"/>
    <n v="773.56"/>
    <n v="10"/>
    <n v="0.19999999999999998"/>
    <n v="38678"/>
  </r>
  <r>
    <s v="ORD-1048"/>
    <x v="51"/>
    <x v="2"/>
    <x v="9"/>
    <x v="1"/>
    <n v="6119.28"/>
    <n v="1346.24"/>
    <n v="8"/>
    <n v="0.21999973853133051"/>
    <n v="48954.239999999998"/>
  </r>
  <r>
    <s v="ORD-1105"/>
    <x v="52"/>
    <x v="3"/>
    <x v="8"/>
    <x v="0"/>
    <n v="772.62"/>
    <n v="247.24"/>
    <n v="6"/>
    <n v="0.32000207087572158"/>
    <n v="4635.72"/>
  </r>
  <r>
    <s v="ORD-1083"/>
    <x v="53"/>
    <x v="1"/>
    <x v="2"/>
    <x v="1"/>
    <n v="353.84"/>
    <n v="84.92"/>
    <n v="1"/>
    <n v="0.23999547818222927"/>
    <n v="353.84"/>
  </r>
  <r>
    <s v="ORD-1007"/>
    <x v="54"/>
    <x v="2"/>
    <x v="7"/>
    <x v="1"/>
    <n v="6856.33"/>
    <n v="1919.77"/>
    <n v="13"/>
    <n v="0.27999964995850551"/>
    <n v="89132.29"/>
  </r>
  <r>
    <s v="ORD-1197"/>
    <x v="55"/>
    <x v="2"/>
    <x v="1"/>
    <x v="1"/>
    <n v="7808.16"/>
    <n v="1952.04"/>
    <n v="16"/>
    <n v="0.25"/>
    <n v="124930.56"/>
  </r>
  <r>
    <s v="ORD-1032"/>
    <x v="56"/>
    <x v="2"/>
    <x v="7"/>
    <x v="1"/>
    <n v="10510.08"/>
    <n v="2942.82"/>
    <n v="16"/>
    <n v="0.27999977164778955"/>
    <n v="168161.28"/>
  </r>
  <r>
    <s v="ORD-1020"/>
    <x v="57"/>
    <x v="1"/>
    <x v="2"/>
    <x v="1"/>
    <n v="7436.79"/>
    <n v="1784.83"/>
    <n v="19"/>
    <n v="0.24000005378664718"/>
    <n v="141299.01"/>
  </r>
  <r>
    <s v="ORD-1188"/>
    <x v="58"/>
    <x v="1"/>
    <x v="4"/>
    <x v="0"/>
    <n v="46.74"/>
    <n v="17.760000000000002"/>
    <n v="1"/>
    <n v="0.37997432605905007"/>
    <n v="46.74"/>
  </r>
  <r>
    <s v="ORD-1187"/>
    <x v="59"/>
    <x v="0"/>
    <x v="3"/>
    <x v="0"/>
    <n v="419.79"/>
    <n v="125.94"/>
    <n v="3"/>
    <n v="0.30000714643035803"/>
    <n v="1259.3700000000001"/>
  </r>
  <r>
    <s v="ORD-1139"/>
    <x v="60"/>
    <x v="1"/>
    <x v="4"/>
    <x v="0"/>
    <n v="1060.4000000000001"/>
    <n v="402.95"/>
    <n v="20"/>
    <n v="0.37999811391927568"/>
    <n v="21208"/>
  </r>
  <r>
    <s v="ORD-1018"/>
    <x v="61"/>
    <x v="1"/>
    <x v="5"/>
    <x v="1"/>
    <n v="2564.2399999999998"/>
    <n v="512.85"/>
    <n v="7"/>
    <n v="0.20000077995819426"/>
    <n v="17949.68"/>
  </r>
  <r>
    <s v="ORD-1146"/>
    <x v="62"/>
    <x v="1"/>
    <x v="0"/>
    <x v="0"/>
    <n v="567.20000000000005"/>
    <n v="198.52"/>
    <n v="8"/>
    <n v="0.35"/>
    <n v="4537.6000000000004"/>
  </r>
  <r>
    <s v="ORD-1053"/>
    <x v="63"/>
    <x v="2"/>
    <x v="3"/>
    <x v="0"/>
    <n v="1430.77"/>
    <n v="429.23"/>
    <n v="11"/>
    <n v="0.2999993010756446"/>
    <n v="15738.47"/>
  </r>
  <r>
    <s v="ORD-1039"/>
    <x v="64"/>
    <x v="0"/>
    <x v="9"/>
    <x v="1"/>
    <n v="2860.14"/>
    <n v="629.23"/>
    <n v="3"/>
    <n v="0.21999972029341222"/>
    <n v="8580.42"/>
  </r>
  <r>
    <s v="ORD-1097"/>
    <x v="65"/>
    <x v="0"/>
    <x v="0"/>
    <x v="0"/>
    <n v="500.78"/>
    <n v="175.27"/>
    <n v="7"/>
    <n v="0.34999400934542119"/>
    <n v="3505.46"/>
  </r>
  <r>
    <s v="ORD-1009"/>
    <x v="66"/>
    <x v="3"/>
    <x v="7"/>
    <x v="1"/>
    <n v="1828.11"/>
    <n v="511.87"/>
    <n v="3"/>
    <n v="0.27999956238957174"/>
    <n v="5484.33"/>
  </r>
  <r>
    <s v="ORD-1121"/>
    <x v="67"/>
    <x v="3"/>
    <x v="0"/>
    <x v="0"/>
    <n v="792.36"/>
    <n v="277.33"/>
    <n v="9"/>
    <n v="0.3500050482104094"/>
    <n v="7131.24"/>
  </r>
  <r>
    <s v="ORD-1116"/>
    <x v="68"/>
    <x v="0"/>
    <x v="8"/>
    <x v="0"/>
    <n v="2026.5"/>
    <n v="648.48"/>
    <n v="15"/>
    <n v="0.32"/>
    <n v="30397.5"/>
  </r>
  <r>
    <s v="ORD-1090"/>
    <x v="69"/>
    <x v="1"/>
    <x v="2"/>
    <x v="1"/>
    <n v="5307.96"/>
    <n v="1273.9100000000001"/>
    <n v="14"/>
    <n v="0.23999992464148187"/>
    <n v="74311.44"/>
  </r>
  <r>
    <s v="ORD-1004"/>
    <x v="70"/>
    <x v="0"/>
    <x v="2"/>
    <x v="1"/>
    <n v="7026.12"/>
    <n v="1686.27"/>
    <n v="18"/>
    <n v="0.24000017079127597"/>
    <n v="126470.16"/>
  </r>
  <r>
    <s v="ORD-1147"/>
    <x v="71"/>
    <x v="2"/>
    <x v="4"/>
    <x v="0"/>
    <n v="1021.68"/>
    <n v="388.24"/>
    <n v="18"/>
    <n v="0.38000156604807772"/>
    <n v="18390.239999999998"/>
  </r>
  <r>
    <s v="ORD-1030"/>
    <x v="72"/>
    <x v="1"/>
    <x v="9"/>
    <x v="1"/>
    <n v="11639.52"/>
    <n v="2560.69"/>
    <n v="16"/>
    <n v="0.21999962197753858"/>
    <n v="186232.32000000001"/>
  </r>
  <r>
    <s v="ORD-1014"/>
    <x v="73"/>
    <x v="0"/>
    <x v="7"/>
    <x v="1"/>
    <n v="11542.32"/>
    <n v="3231.85"/>
    <n v="18"/>
    <n v="0.280000034655078"/>
    <n v="207761.76"/>
  </r>
  <r>
    <s v="ORD-1081"/>
    <x v="74"/>
    <x v="2"/>
    <x v="5"/>
    <x v="1"/>
    <n v="2375.38"/>
    <n v="475.08"/>
    <n v="7"/>
    <n v="0.20000168394109571"/>
    <n v="16627.66"/>
  </r>
  <r>
    <s v="ORD-1132"/>
    <x v="75"/>
    <x v="3"/>
    <x v="8"/>
    <x v="0"/>
    <n v="470.44"/>
    <n v="150.54"/>
    <n v="4"/>
    <n v="0.31999829946433123"/>
    <n v="1881.76"/>
  </r>
  <r>
    <s v="ORD-1123"/>
    <x v="76"/>
    <x v="2"/>
    <x v="9"/>
    <x v="1"/>
    <n v="6186.72"/>
    <n v="1361.08"/>
    <n v="8"/>
    <n v="0.22000025861846018"/>
    <n v="49493.760000000002"/>
  </r>
  <r>
    <s v="ORD-1085"/>
    <x v="77"/>
    <x v="1"/>
    <x v="4"/>
    <x v="0"/>
    <n v="722.26"/>
    <n v="274.45999999999998"/>
    <n v="14"/>
    <n v="0.38000166145155484"/>
    <n v="10111.64"/>
  </r>
  <r>
    <s v="ORD-1135"/>
    <x v="78"/>
    <x v="1"/>
    <x v="0"/>
    <x v="0"/>
    <n v="703.52"/>
    <n v="246.23"/>
    <n v="8"/>
    <n v="0.34999715715260404"/>
    <n v="5628.16"/>
  </r>
  <r>
    <s v="ORD-1016"/>
    <x v="79"/>
    <x v="0"/>
    <x v="2"/>
    <x v="1"/>
    <n v="4852.54"/>
    <n v="1164.6099999999999"/>
    <n v="11"/>
    <n v="0.24000008243105669"/>
    <n v="53377.94"/>
  </r>
  <r>
    <s v="ORD-1069"/>
    <x v="80"/>
    <x v="2"/>
    <x v="9"/>
    <x v="1"/>
    <n v="13075.72"/>
    <n v="2876.66"/>
    <n v="14"/>
    <n v="0.22000012236419869"/>
    <n v="183060.08"/>
  </r>
  <r>
    <s v="ORD-1034"/>
    <x v="81"/>
    <x v="3"/>
    <x v="0"/>
    <x v="0"/>
    <n v="632.03"/>
    <n v="221.21"/>
    <n v="7"/>
    <n v="0.34999920889831182"/>
    <n v="4424.21"/>
  </r>
  <r>
    <s v="ORD-1002"/>
    <x v="82"/>
    <x v="2"/>
    <x v="7"/>
    <x v="1"/>
    <n v="11133.05"/>
    <n v="3117.25"/>
    <n v="19"/>
    <n v="0.2799996407094193"/>
    <n v="211527.94999999998"/>
  </r>
  <r>
    <s v="ORD-1134"/>
    <x v="83"/>
    <x v="3"/>
    <x v="0"/>
    <x v="0"/>
    <n v="1176.75"/>
    <n v="411.86"/>
    <n v="15"/>
    <n v="0.34999787550456768"/>
    <n v="17651.25"/>
  </r>
  <r>
    <s v="ORD-1170"/>
    <x v="84"/>
    <x v="1"/>
    <x v="4"/>
    <x v="0"/>
    <n v="43.87"/>
    <n v="16.670000000000002"/>
    <n v="1"/>
    <n v="0.3799863232277183"/>
    <n v="43.87"/>
  </r>
  <r>
    <s v="ORD-1108"/>
    <x v="85"/>
    <x v="0"/>
    <x v="0"/>
    <x v="0"/>
    <n v="684.54"/>
    <n v="239.59"/>
    <n v="9"/>
    <n v="0.35000146083501332"/>
    <n v="6160.86"/>
  </r>
  <r>
    <s v="ORD-1072"/>
    <x v="86"/>
    <x v="2"/>
    <x v="9"/>
    <x v="1"/>
    <n v="2890.47"/>
    <n v="635.9"/>
    <n v="3"/>
    <n v="0.21999882372070978"/>
    <n v="8671.41"/>
  </r>
  <r>
    <s v="ORD-1179"/>
    <x v="87"/>
    <x v="3"/>
    <x v="4"/>
    <x v="0"/>
    <n v="808.5"/>
    <n v="307.23"/>
    <n v="15"/>
    <n v="0.38"/>
    <n v="12127.5"/>
  </r>
  <r>
    <s v="ORD-1093"/>
    <x v="88"/>
    <x v="1"/>
    <x v="0"/>
    <x v="0"/>
    <n v="548.24"/>
    <n v="191.88"/>
    <n v="7"/>
    <n v="0.3499927039252882"/>
    <n v="3837.6800000000003"/>
  </r>
  <r>
    <s v="ORD-1087"/>
    <x v="89"/>
    <x v="2"/>
    <x v="8"/>
    <x v="0"/>
    <n v="2300.44"/>
    <n v="736.14"/>
    <n v="17"/>
    <n v="0.31999965224044097"/>
    <n v="39107.480000000003"/>
  </r>
  <r>
    <s v="ORD-1029"/>
    <x v="90"/>
    <x v="0"/>
    <x v="4"/>
    <x v="0"/>
    <n v="1022.4"/>
    <n v="388.51"/>
    <n v="18"/>
    <n v="0.37999804381846636"/>
    <n v="18403.2"/>
  </r>
  <r>
    <s v="ORD-1160"/>
    <x v="91"/>
    <x v="2"/>
    <x v="3"/>
    <x v="0"/>
    <n v="1089.55"/>
    <n v="326.86"/>
    <n v="7"/>
    <n v="0.29999541094947457"/>
    <n v="7626.8499999999995"/>
  </r>
  <r>
    <s v="ORD-1010"/>
    <x v="92"/>
    <x v="1"/>
    <x v="3"/>
    <x v="0"/>
    <n v="2586.85"/>
    <n v="776.05"/>
    <n v="19"/>
    <n v="0.2999980671473027"/>
    <n v="49150.15"/>
  </r>
  <r>
    <s v="ORD-1171"/>
    <x v="93"/>
    <x v="2"/>
    <x v="3"/>
    <x v="0"/>
    <n v="1380.87"/>
    <n v="414.26"/>
    <n v="9"/>
    <n v="0.29999927581886782"/>
    <n v="12427.829999999998"/>
  </r>
  <r>
    <s v="ORD-1194"/>
    <x v="94"/>
    <x v="0"/>
    <x v="8"/>
    <x v="0"/>
    <n v="2187.6799999999998"/>
    <n v="700.06"/>
    <n v="16"/>
    <n v="0.32000109705258539"/>
    <n v="35002.879999999997"/>
  </r>
  <r>
    <s v="ORD-1182"/>
    <x v="95"/>
    <x v="0"/>
    <x v="5"/>
    <x v="1"/>
    <n v="3553.4"/>
    <n v="710.68"/>
    <n v="10"/>
    <n v="0.19999999999999998"/>
    <n v="35534"/>
  </r>
  <r>
    <s v="ORD-1115"/>
    <x v="96"/>
    <x v="2"/>
    <x v="6"/>
    <x v="2"/>
    <n v="3090.23"/>
    <n v="556.24"/>
    <n v="13"/>
    <n v="0.17999954695928783"/>
    <n v="40172.99"/>
  </r>
  <r>
    <s v="ORD-1167"/>
    <x v="97"/>
    <x v="1"/>
    <x v="0"/>
    <x v="0"/>
    <n v="1064.7"/>
    <n v="372.64"/>
    <n v="15"/>
    <n v="0.34999530384145766"/>
    <n v="15970.5"/>
  </r>
  <r>
    <s v="ORD-1176"/>
    <x v="98"/>
    <x v="2"/>
    <x v="2"/>
    <x v="1"/>
    <n v="5258.55"/>
    <n v="1262.05"/>
    <n v="15"/>
    <n v="0.23999961966701847"/>
    <n v="78878.25"/>
  </r>
  <r>
    <s v="ORD-1033"/>
    <x v="99"/>
    <x v="0"/>
    <x v="1"/>
    <x v="1"/>
    <n v="8165.12"/>
    <n v="2041.28"/>
    <n v="16"/>
    <n v="0.25"/>
    <n v="130641.92"/>
  </r>
  <r>
    <s v="ORD-1022"/>
    <x v="100"/>
    <x v="3"/>
    <x v="2"/>
    <x v="1"/>
    <n v="1292.07"/>
    <n v="310.10000000000002"/>
    <n v="3"/>
    <n v="0.24000247664600219"/>
    <n v="3876.21"/>
  </r>
  <r>
    <s v="ORD-1035"/>
    <x v="101"/>
    <x v="1"/>
    <x v="5"/>
    <x v="1"/>
    <n v="5225.87"/>
    <n v="1045.17"/>
    <n v="13"/>
    <n v="0.19999923457720917"/>
    <n v="67936.31"/>
  </r>
  <r>
    <s v="ORD-1131"/>
    <x v="102"/>
    <x v="2"/>
    <x v="4"/>
    <x v="0"/>
    <n v="887.57"/>
    <n v="337.28"/>
    <n v="17"/>
    <n v="0.38000383068377702"/>
    <n v="15088.69"/>
  </r>
  <r>
    <s v="ORD-1068"/>
    <x v="103"/>
    <x v="0"/>
    <x v="4"/>
    <x v="0"/>
    <n v="450.72"/>
    <n v="171.27"/>
    <n v="9"/>
    <n v="0.37999201277955269"/>
    <n v="4056.4800000000005"/>
  </r>
  <r>
    <s v="ORD-1122"/>
    <x v="104"/>
    <x v="2"/>
    <x v="9"/>
    <x v="1"/>
    <n v="9356.16"/>
    <n v="2058.36"/>
    <n v="12"/>
    <n v="0.22000051303098708"/>
    <n v="112273.92"/>
  </r>
  <r>
    <s v="ORD-1070"/>
    <x v="105"/>
    <x v="1"/>
    <x v="9"/>
    <x v="1"/>
    <n v="4424.8"/>
    <n v="973.46"/>
    <n v="5"/>
    <n v="0.22000090399566083"/>
    <n v="22124"/>
  </r>
  <r>
    <s v="ORD-1126"/>
    <x v="106"/>
    <x v="2"/>
    <x v="1"/>
    <x v="1"/>
    <n v="3076.44"/>
    <n v="769.11"/>
    <n v="6"/>
    <n v="0.25"/>
    <n v="18458.64"/>
  </r>
  <r>
    <s v="ORD-1169"/>
    <x v="107"/>
    <x v="2"/>
    <x v="6"/>
    <x v="2"/>
    <n v="4309.8"/>
    <n v="775.76"/>
    <n v="20"/>
    <n v="0.17999907188268596"/>
    <n v="86196"/>
  </r>
  <r>
    <s v="ORD-1044"/>
    <x v="108"/>
    <x v="2"/>
    <x v="7"/>
    <x v="1"/>
    <n v="8334.0400000000009"/>
    <n v="2333.5300000000002"/>
    <n v="13"/>
    <n v="0.27999985601221017"/>
    <n v="108342.52000000002"/>
  </r>
  <r>
    <s v="ORD-1023"/>
    <x v="109"/>
    <x v="0"/>
    <x v="1"/>
    <x v="1"/>
    <n v="6482.28"/>
    <n v="1620.57"/>
    <n v="14"/>
    <n v="0.25"/>
    <n v="90751.92"/>
  </r>
  <r>
    <s v="ORD-1054"/>
    <x v="110"/>
    <x v="0"/>
    <x v="6"/>
    <x v="2"/>
    <n v="569.12"/>
    <n v="102.44"/>
    <n v="2"/>
    <n v="0.17999718864211414"/>
    <n v="1138.24"/>
  </r>
  <r>
    <s v="ORD-1191"/>
    <x v="111"/>
    <x v="1"/>
    <x v="6"/>
    <x v="2"/>
    <n v="2002.42"/>
    <n v="360.44"/>
    <n v="7"/>
    <n v="0.18000219734121711"/>
    <n v="14016.94"/>
  </r>
  <r>
    <s v="ORD-1042"/>
    <x v="112"/>
    <x v="3"/>
    <x v="6"/>
    <x v="2"/>
    <n v="1536.99"/>
    <n v="276.66000000000003"/>
    <n v="7"/>
    <n v="0.18000117112017647"/>
    <n v="10758.93"/>
  </r>
  <r>
    <s v="ORD-1189"/>
    <x v="113"/>
    <x v="3"/>
    <x v="3"/>
    <x v="0"/>
    <n v="737.95"/>
    <n v="221.39"/>
    <n v="5"/>
    <n v="0.30000677552679716"/>
    <n v="3689.75"/>
  </r>
  <r>
    <s v="ORD-1153"/>
    <x v="114"/>
    <x v="2"/>
    <x v="7"/>
    <x v="1"/>
    <n v="10662.42"/>
    <n v="2985.48"/>
    <n v="19"/>
    <n v="0.28000022508961381"/>
    <n v="202585.98"/>
  </r>
  <r>
    <s v="ORD-1196"/>
    <x v="115"/>
    <x v="3"/>
    <x v="7"/>
    <x v="1"/>
    <n v="640.04"/>
    <n v="179.21"/>
    <n v="1"/>
    <n v="0.2799981251171802"/>
    <n v="640.04"/>
  </r>
  <r>
    <s v="ORD-1017"/>
    <x v="116"/>
    <x v="2"/>
    <x v="5"/>
    <x v="1"/>
    <n v="3735.82"/>
    <n v="747.16"/>
    <n v="11"/>
    <n v="0.1999989292846015"/>
    <n v="41094.020000000004"/>
  </r>
  <r>
    <s v="ORD-1094"/>
    <x v="117"/>
    <x v="1"/>
    <x v="3"/>
    <x v="0"/>
    <n v="2210.6999999999998"/>
    <n v="663.21"/>
    <n v="15"/>
    <n v="0.30000000000000004"/>
    <n v="33160.5"/>
  </r>
  <r>
    <s v="ORD-1183"/>
    <x v="118"/>
    <x v="2"/>
    <x v="8"/>
    <x v="0"/>
    <n v="1101.76"/>
    <n v="352.56"/>
    <n v="8"/>
    <n v="0.31999709555620098"/>
    <n v="8814.08"/>
  </r>
  <r>
    <s v="ORD-1075"/>
    <x v="119"/>
    <x v="0"/>
    <x v="4"/>
    <x v="0"/>
    <n v="420"/>
    <n v="159.6"/>
    <n v="8"/>
    <n v="0.38"/>
    <n v="3360"/>
  </r>
  <r>
    <s v="ORD-1005"/>
    <x v="120"/>
    <x v="1"/>
    <x v="3"/>
    <x v="0"/>
    <n v="161.65"/>
    <n v="48.49"/>
    <n v="1"/>
    <n v="0.29996906897618314"/>
    <n v="161.65"/>
  </r>
  <r>
    <s v="ORD-1133"/>
    <x v="121"/>
    <x v="0"/>
    <x v="6"/>
    <x v="2"/>
    <n v="3159.94"/>
    <n v="568.79"/>
    <n v="14"/>
    <n v="0.18000025316936397"/>
    <n v="44239.16"/>
  </r>
  <r>
    <s v="ORD-1101"/>
    <x v="122"/>
    <x v="2"/>
    <x v="9"/>
    <x v="1"/>
    <n v="10896.2"/>
    <n v="2397.16"/>
    <n v="14"/>
    <n v="0.21999963289954294"/>
    <n v="152546.80000000002"/>
  </r>
  <r>
    <s v="ORD-1040"/>
    <x v="123"/>
    <x v="0"/>
    <x v="7"/>
    <x v="1"/>
    <n v="5673.78"/>
    <n v="1588.66"/>
    <n v="9"/>
    <n v="0.28000028199894961"/>
    <n v="51064.02"/>
  </r>
  <r>
    <s v="ORD-1011"/>
    <x v="124"/>
    <x v="0"/>
    <x v="9"/>
    <x v="1"/>
    <n v="9737.2999999999993"/>
    <n v="2142.21"/>
    <n v="10"/>
    <n v="0.22000041079149252"/>
    <n v="97373"/>
  </r>
  <r>
    <s v="ORD-1025"/>
    <x v="125"/>
    <x v="2"/>
    <x v="9"/>
    <x v="1"/>
    <n v="16451.46"/>
    <n v="3619.32"/>
    <n v="18"/>
    <n v="0.21999992705814561"/>
    <n v="296126.27999999997"/>
  </r>
  <r>
    <s v="ORD-1036"/>
    <x v="126"/>
    <x v="3"/>
    <x v="4"/>
    <x v="0"/>
    <n v="837.59"/>
    <n v="318.27999999999997"/>
    <n v="17"/>
    <n v="0.37999498561348627"/>
    <n v="14239.03"/>
  </r>
  <r>
    <s v="ORD-1154"/>
    <x v="127"/>
    <x v="1"/>
    <x v="6"/>
    <x v="2"/>
    <n v="1709.46"/>
    <n v="307.7"/>
    <n v="6"/>
    <n v="0.17999836205585387"/>
    <n v="10256.76"/>
  </r>
  <r>
    <s v="ORD-1049"/>
    <x v="128"/>
    <x v="0"/>
    <x v="6"/>
    <x v="2"/>
    <n v="3642.34"/>
    <n v="655.62"/>
    <n v="13"/>
    <n v="0.1799996705414651"/>
    <n v="47350.42"/>
  </r>
  <r>
    <s v="ORD-1057"/>
    <x v="129"/>
    <x v="2"/>
    <x v="9"/>
    <x v="1"/>
    <n v="12461.82"/>
    <n v="2741.6"/>
    <n v="14"/>
    <n v="0.21999996790195975"/>
    <n v="174465.47999999998"/>
  </r>
  <r>
    <s v="ORD-1091"/>
    <x v="130"/>
    <x v="0"/>
    <x v="0"/>
    <x v="0"/>
    <n v="546.63"/>
    <n v="191.32"/>
    <n v="7"/>
    <n v="0.34999908530450213"/>
    <n v="3826.41"/>
  </r>
  <r>
    <s v="ORD-1059"/>
    <x v="131"/>
    <x v="1"/>
    <x v="5"/>
    <x v="1"/>
    <n v="4046.12"/>
    <n v="809.22"/>
    <n v="13"/>
    <n v="0.19999901139857446"/>
    <n v="52599.56"/>
  </r>
  <r>
    <s v="ORD-1015"/>
    <x v="132"/>
    <x v="3"/>
    <x v="6"/>
    <x v="2"/>
    <n v="2580.39"/>
    <n v="464.47"/>
    <n v="9"/>
    <n v="0.17999992249233646"/>
    <n v="23223.51"/>
  </r>
  <r>
    <s v="ORD-1174"/>
    <x v="133"/>
    <x v="1"/>
    <x v="4"/>
    <x v="0"/>
    <n v="221.48"/>
    <n v="84.16"/>
    <n v="4"/>
    <n v="0.37998916380711578"/>
    <n v="885.92"/>
  </r>
  <r>
    <s v="ORD-1013"/>
    <x v="134"/>
    <x v="1"/>
    <x v="1"/>
    <x v="1"/>
    <n v="4929.3599999999997"/>
    <n v="1232.3399999999999"/>
    <n v="12"/>
    <n v="0.25"/>
    <n v="59152.319999999992"/>
  </r>
  <r>
    <s v="ORD-1165"/>
    <x v="135"/>
    <x v="0"/>
    <x v="3"/>
    <x v="0"/>
    <n v="1857.24"/>
    <n v="557.16999999999996"/>
    <n v="14"/>
    <n v="0.29999892313325149"/>
    <n v="26001.360000000001"/>
  </r>
  <r>
    <s v="ORD-1071"/>
    <x v="136"/>
    <x v="3"/>
    <x v="1"/>
    <x v="1"/>
    <n v="8599.86"/>
    <n v="2149.9699999999998"/>
    <n v="18"/>
    <n v="0.25000058140481352"/>
    <n v="154797.48000000001"/>
  </r>
  <r>
    <s v="ORD-1102"/>
    <x v="137"/>
    <x v="3"/>
    <x v="2"/>
    <x v="1"/>
    <n v="813.78"/>
    <n v="195.31"/>
    <n v="2"/>
    <n v="0.24000344073336774"/>
    <n v="1627.56"/>
  </r>
  <r>
    <s v="ORD-1006"/>
    <x v="138"/>
    <x v="1"/>
    <x v="8"/>
    <x v="0"/>
    <n v="968.4"/>
    <n v="309.89"/>
    <n v="9"/>
    <n v="0.3200020652622883"/>
    <n v="8715.6"/>
  </r>
  <r>
    <s v="ORD-1144"/>
    <x v="139"/>
    <x v="1"/>
    <x v="3"/>
    <x v="0"/>
    <n v="2438.56"/>
    <n v="731.57"/>
    <n v="16"/>
    <n v="0.30000082015615775"/>
    <n v="39016.959999999999"/>
  </r>
  <r>
    <s v="ORD-1193"/>
    <x v="140"/>
    <x v="1"/>
    <x v="9"/>
    <x v="1"/>
    <n v="14437.28"/>
    <n v="3176.2"/>
    <n v="16"/>
    <n v="0.21999988917580041"/>
    <n v="230996.48000000001"/>
  </r>
  <r>
    <s v="ORD-1192"/>
    <x v="141"/>
    <x v="3"/>
    <x v="3"/>
    <x v="0"/>
    <n v="1328.16"/>
    <n v="398.45"/>
    <n v="8"/>
    <n v="0.30000150584266955"/>
    <n v="10625.28"/>
  </r>
  <r>
    <s v="ORD-1199"/>
    <x v="142"/>
    <x v="3"/>
    <x v="2"/>
    <x v="1"/>
    <n v="4567.42"/>
    <n v="1096.18"/>
    <n v="11"/>
    <n v="0.23999982484641222"/>
    <n v="50241.62"/>
  </r>
  <r>
    <s v="ORD-1061"/>
    <x v="143"/>
    <x v="3"/>
    <x v="9"/>
    <x v="1"/>
    <n v="19542.2"/>
    <n v="4299.28"/>
    <n v="20"/>
    <n v="0.21999979531475472"/>
    <n v="390844"/>
  </r>
  <r>
    <s v="ORD-1028"/>
    <x v="144"/>
    <x v="1"/>
    <x v="7"/>
    <x v="1"/>
    <n v="10533.37"/>
    <n v="2949.34"/>
    <n v="17"/>
    <n v="0.27999965822903783"/>
    <n v="179067.29"/>
  </r>
  <r>
    <s v="ORD-1124"/>
    <x v="145"/>
    <x v="0"/>
    <x v="3"/>
    <x v="0"/>
    <n v="1065.44"/>
    <n v="319.63"/>
    <n v="8"/>
    <n v="0.29999812284126742"/>
    <n v="8523.52"/>
  </r>
  <r>
    <s v="ORD-1099"/>
    <x v="146"/>
    <x v="3"/>
    <x v="6"/>
    <x v="2"/>
    <n v="4314.5200000000004"/>
    <n v="776.61"/>
    <n v="19"/>
    <n v="0.17999916560822524"/>
    <n v="81975.88"/>
  </r>
  <r>
    <s v="ORD-1051"/>
    <x v="147"/>
    <x v="3"/>
    <x v="0"/>
    <x v="0"/>
    <n v="1509.84"/>
    <n v="528.44000000000005"/>
    <n v="18"/>
    <n v="0.34999735071265836"/>
    <n v="27177.119999999999"/>
  </r>
  <r>
    <s v="ORD-1078"/>
    <x v="148"/>
    <x v="0"/>
    <x v="8"/>
    <x v="0"/>
    <n v="969.57"/>
    <n v="310.26"/>
    <n v="9"/>
    <n v="0.31999752467588721"/>
    <n v="8726.130000000001"/>
  </r>
  <r>
    <s v="ORD-1117"/>
    <x v="149"/>
    <x v="2"/>
    <x v="2"/>
    <x v="1"/>
    <n v="5343.39"/>
    <n v="1282.4100000000001"/>
    <n v="13"/>
    <n v="0.23999932627040138"/>
    <n v="69464.070000000007"/>
  </r>
  <r>
    <s v="ORD-1065"/>
    <x v="150"/>
    <x v="2"/>
    <x v="2"/>
    <x v="1"/>
    <n v="6766.74"/>
    <n v="1624.02"/>
    <n v="18"/>
    <n v="0.24000035467595918"/>
    <n v="121801.31999999999"/>
  </r>
  <r>
    <s v="ORD-1109"/>
    <x v="151"/>
    <x v="0"/>
    <x v="7"/>
    <x v="1"/>
    <n v="2758.15"/>
    <n v="772.28"/>
    <n v="5"/>
    <n v="0.27999927487627574"/>
    <n v="13790.75"/>
  </r>
  <r>
    <s v="ORD-1198"/>
    <x v="152"/>
    <x v="3"/>
    <x v="4"/>
    <x v="0"/>
    <n v="165.84"/>
    <n v="63.02"/>
    <n v="3"/>
    <n v="0.38000482392667634"/>
    <n v="497.52"/>
  </r>
  <r>
    <s v="ORD-1151"/>
    <x v="153"/>
    <x v="0"/>
    <x v="2"/>
    <x v="1"/>
    <n v="3109.14"/>
    <n v="746.19"/>
    <n v="9"/>
    <n v="0.23999884212354544"/>
    <n v="27982.26"/>
  </r>
  <r>
    <s v="ORD-1089"/>
    <x v="154"/>
    <x v="1"/>
    <x v="4"/>
    <x v="0"/>
    <n v="213.2"/>
    <n v="81.02"/>
    <n v="4"/>
    <n v="0.38001876172607879"/>
    <n v="852.8"/>
  </r>
  <r>
    <s v="ORD-1041"/>
    <x v="155"/>
    <x v="0"/>
    <x v="2"/>
    <x v="1"/>
    <n v="7773.85"/>
    <n v="1865.72"/>
    <n v="19"/>
    <n v="0.23999948545444019"/>
    <n v="147703.15"/>
  </r>
  <r>
    <s v="ORD-1140"/>
    <x v="156"/>
    <x v="2"/>
    <x v="2"/>
    <x v="1"/>
    <n v="7714.09"/>
    <n v="1851.38"/>
    <n v="17"/>
    <n v="0.23999979258733048"/>
    <n v="131139.53"/>
  </r>
  <r>
    <s v="ORD-1074"/>
    <x v="157"/>
    <x v="0"/>
    <x v="8"/>
    <x v="0"/>
    <n v="226.2"/>
    <n v="72.38"/>
    <n v="2"/>
    <n v="0.31998231653404069"/>
    <n v="452.4"/>
  </r>
  <r>
    <s v="ORD-1120"/>
    <x v="158"/>
    <x v="1"/>
    <x v="6"/>
    <x v="2"/>
    <n v="2965.49"/>
    <n v="533.79"/>
    <n v="11"/>
    <n v="0.18000060698231996"/>
    <n v="32620.39"/>
  </r>
  <r>
    <s v="ORD-1003"/>
    <x v="159"/>
    <x v="0"/>
    <x v="7"/>
    <x v="1"/>
    <n v="4807.68"/>
    <n v="1346.15"/>
    <n v="8"/>
    <n v="0.27999991679978703"/>
    <n v="38461.440000000002"/>
  </r>
  <r>
    <s v="ORD-1168"/>
    <x v="160"/>
    <x v="3"/>
    <x v="0"/>
    <x v="0"/>
    <n v="720.09"/>
    <n v="252.03"/>
    <n v="9"/>
    <n v="0.34999791692705079"/>
    <n v="6480.81"/>
  </r>
  <r>
    <s v="ORD-1118"/>
    <x v="161"/>
    <x v="2"/>
    <x v="9"/>
    <x v="1"/>
    <n v="10599.4"/>
    <n v="2331.87"/>
    <n v="14"/>
    <n v="0.22000018868992585"/>
    <n v="148391.6"/>
  </r>
  <r>
    <s v="ORD-1066"/>
    <x v="162"/>
    <x v="0"/>
    <x v="7"/>
    <x v="1"/>
    <n v="4777.0200000000004"/>
    <n v="1337.57"/>
    <n v="9"/>
    <n v="0.28000092107631952"/>
    <n v="42993.180000000008"/>
  </r>
  <r>
    <s v="ORD-1164"/>
    <x v="163"/>
    <x v="3"/>
    <x v="0"/>
    <x v="0"/>
    <n v="253.5"/>
    <n v="88.72"/>
    <n v="3"/>
    <n v="0.3499802761341223"/>
    <n v="760.5"/>
  </r>
  <r>
    <s v="ORD-1119"/>
    <x v="164"/>
    <x v="2"/>
    <x v="1"/>
    <x v="1"/>
    <n v="3903.12"/>
    <n v="975.78"/>
    <n v="9"/>
    <n v="0.25"/>
    <n v="35128.080000000002"/>
  </r>
  <r>
    <s v="ORD-1060"/>
    <x v="165"/>
    <x v="3"/>
    <x v="0"/>
    <x v="0"/>
    <n v="993.3"/>
    <n v="347.65"/>
    <n v="11"/>
    <n v="0.34999496627403603"/>
    <n v="10926.3"/>
  </r>
  <r>
    <s v="ORD-1037"/>
    <x v="166"/>
    <x v="2"/>
    <x v="5"/>
    <x v="1"/>
    <n v="3296.81"/>
    <n v="659.36"/>
    <n v="11"/>
    <n v="0.19999939335296849"/>
    <n v="36264.909999999996"/>
  </r>
  <r>
    <s v="ORD-1150"/>
    <x v="167"/>
    <x v="1"/>
    <x v="5"/>
    <x v="1"/>
    <n v="1975.44"/>
    <n v="395.09"/>
    <n v="6"/>
    <n v="0.20000101243267321"/>
    <n v="11852.64"/>
  </r>
  <r>
    <s v="ORD-1128"/>
    <x v="168"/>
    <x v="0"/>
    <x v="8"/>
    <x v="0"/>
    <n v="369.96"/>
    <n v="118.39"/>
    <n v="3"/>
    <n v="0.32000756838577143"/>
    <n v="1109.8799999999999"/>
  </r>
  <r>
    <s v="ORD-1062"/>
    <x v="169"/>
    <x v="0"/>
    <x v="7"/>
    <x v="1"/>
    <n v="9481.58"/>
    <n v="2654.84"/>
    <n v="17"/>
    <n v="0.27999974687763013"/>
    <n v="161186.85999999999"/>
  </r>
  <r>
    <s v="ORD-1184"/>
    <x v="170"/>
    <x v="2"/>
    <x v="6"/>
    <x v="2"/>
    <n v="1249.4000000000001"/>
    <n v="224.89"/>
    <n v="5"/>
    <n v="0.17999839923163116"/>
    <n v="6247"/>
  </r>
  <r>
    <s v="ORD-1159"/>
    <x v="171"/>
    <x v="3"/>
    <x v="0"/>
    <x v="0"/>
    <n v="816.5"/>
    <n v="285.77"/>
    <n v="10"/>
    <n v="0.34999387630128598"/>
    <n v="8165"/>
  </r>
  <r>
    <s v="ORD-1098"/>
    <x v="172"/>
    <x v="3"/>
    <x v="5"/>
    <x v="1"/>
    <n v="7734.4"/>
    <n v="1546.88"/>
    <n v="20"/>
    <n v="0.2"/>
    <n v="154688"/>
  </r>
  <r>
    <s v="ORD-1157"/>
    <x v="173"/>
    <x v="2"/>
    <x v="0"/>
    <x v="0"/>
    <n v="566.72"/>
    <n v="198.35"/>
    <n v="8"/>
    <n v="0.34999647092038394"/>
    <n v="4533.76"/>
  </r>
  <r>
    <s v="ORD-1021"/>
    <x v="174"/>
    <x v="1"/>
    <x v="8"/>
    <x v="0"/>
    <n v="1103.2"/>
    <n v="353.02"/>
    <n v="8"/>
    <n v="0.31999637418419141"/>
    <n v="8825.6"/>
  </r>
  <r>
    <s v="ORD-1045"/>
    <x v="175"/>
    <x v="0"/>
    <x v="5"/>
    <x v="1"/>
    <n v="2476.67"/>
    <n v="495.33"/>
    <n v="7"/>
    <n v="0.19999838492814948"/>
    <n v="17336.690000000002"/>
  </r>
  <r>
    <s v="ORD-1047"/>
    <x v="176"/>
    <x v="2"/>
    <x v="6"/>
    <x v="2"/>
    <n v="522.82000000000005"/>
    <n v="94.11"/>
    <n v="2"/>
    <n v="0.18000459049003478"/>
    <n v="1045.6400000000001"/>
  </r>
  <r>
    <s v="ORD-1175"/>
    <x v="177"/>
    <x v="3"/>
    <x v="8"/>
    <x v="0"/>
    <n v="1258.5"/>
    <n v="402.72"/>
    <n v="10"/>
    <n v="0.32"/>
    <n v="12585"/>
  </r>
  <r>
    <s v="ORD-1145"/>
    <x v="178"/>
    <x v="1"/>
    <x v="8"/>
    <x v="0"/>
    <n v="1527.6"/>
    <n v="488.83"/>
    <n v="12"/>
    <n v="0.31999869075674259"/>
    <n v="18331.199999999997"/>
  </r>
  <r>
    <s v="ORD-1106"/>
    <x v="179"/>
    <x v="1"/>
    <x v="6"/>
    <x v="2"/>
    <n v="2203.92"/>
    <n v="396.71"/>
    <n v="8"/>
    <n v="0.18000199644270207"/>
    <n v="17631.36"/>
  </r>
  <r>
    <s v="ORD-1136"/>
    <x v="180"/>
    <x v="3"/>
    <x v="0"/>
    <x v="0"/>
    <n v="688.08"/>
    <n v="240.83"/>
    <n v="8"/>
    <n v="0.35000290663876293"/>
    <n v="5504.64"/>
  </r>
  <r>
    <s v="ORD-1063"/>
    <x v="181"/>
    <x v="0"/>
    <x v="7"/>
    <x v="1"/>
    <n v="6735.6"/>
    <n v="1885.97"/>
    <n v="12"/>
    <n v="0.28000029692974643"/>
    <n v="80827.200000000012"/>
  </r>
  <r>
    <s v="ORD-1038"/>
    <x v="182"/>
    <x v="0"/>
    <x v="5"/>
    <x v="1"/>
    <n v="304.95"/>
    <n v="60.99"/>
    <n v="1"/>
    <n v="0.2"/>
    <n v="304.95"/>
  </r>
  <r>
    <s v="ORD-1111"/>
    <x v="183"/>
    <x v="3"/>
    <x v="2"/>
    <x v="1"/>
    <n v="4864.58"/>
    <n v="1167.5"/>
    <n v="14"/>
    <n v="0.24000016445407416"/>
    <n v="68104.12"/>
  </r>
  <r>
    <s v="ORD-1096"/>
    <x v="184"/>
    <x v="1"/>
    <x v="2"/>
    <x v="1"/>
    <n v="1314.63"/>
    <n v="315.51"/>
    <n v="3"/>
    <n v="0.23999908719563676"/>
    <n v="3943.8900000000003"/>
  </r>
  <r>
    <s v="ORD-1092"/>
    <x v="185"/>
    <x v="1"/>
    <x v="1"/>
    <x v="1"/>
    <n v="5934.11"/>
    <n v="1483.53"/>
    <n v="13"/>
    <n v="0.2500004212931678"/>
    <n v="77143.429999999993"/>
  </r>
  <r>
    <s v="ORD-1076"/>
    <x v="186"/>
    <x v="3"/>
    <x v="2"/>
    <x v="1"/>
    <n v="8598.7999999999993"/>
    <n v="2063.71"/>
    <n v="20"/>
    <n v="0.23999976740940598"/>
    <n v="171976"/>
  </r>
  <r>
    <s v="ORD-1084"/>
    <x v="187"/>
    <x v="1"/>
    <x v="1"/>
    <x v="1"/>
    <n v="794.26"/>
    <n v="198.56"/>
    <n v="2"/>
    <n v="0.24999370483217084"/>
    <n v="1588.52"/>
  </r>
  <r>
    <s v="ORD-1012"/>
    <x v="188"/>
    <x v="3"/>
    <x v="7"/>
    <x v="1"/>
    <n v="5324.49"/>
    <n v="1490.86"/>
    <n v="9"/>
    <n v="0.28000052587196145"/>
    <n v="47920.409999999996"/>
  </r>
  <r>
    <s v="ORD-1008"/>
    <x v="189"/>
    <x v="1"/>
    <x v="3"/>
    <x v="0"/>
    <n v="320.68"/>
    <n v="96.2"/>
    <n v="2"/>
    <n v="0.29998752650617438"/>
    <n v="641.36"/>
  </r>
  <r>
    <s v="ORD-1077"/>
    <x v="190"/>
    <x v="0"/>
    <x v="1"/>
    <x v="1"/>
    <n v="5401.9"/>
    <n v="1350.47"/>
    <n v="14"/>
    <n v="0.24999907439974825"/>
    <n v="75626.599999999991"/>
  </r>
  <r>
    <s v="ORD-1178"/>
    <x v="191"/>
    <x v="3"/>
    <x v="2"/>
    <x v="1"/>
    <n v="4851"/>
    <n v="1164.24"/>
    <n v="14"/>
    <n v="0.24"/>
    <n v="67914"/>
  </r>
  <r>
    <s v="ORD-1043"/>
    <x v="192"/>
    <x v="1"/>
    <x v="8"/>
    <x v="0"/>
    <n v="1635.2"/>
    <n v="523.26"/>
    <n v="14"/>
    <n v="0.31999755381604694"/>
    <n v="22892.799999999999"/>
  </r>
  <r>
    <s v="ORD-1114"/>
    <x v="193"/>
    <x v="0"/>
    <x v="2"/>
    <x v="1"/>
    <n v="5861.28"/>
    <n v="1406.71"/>
    <n v="16"/>
    <n v="0.24000047771135316"/>
    <n v="93780.479999999996"/>
  </r>
  <r>
    <s v="ORD-1181"/>
    <x v="194"/>
    <x v="2"/>
    <x v="6"/>
    <x v="2"/>
    <n v="285.49"/>
    <n v="51.39"/>
    <n v="1"/>
    <n v="0.18000630494938527"/>
    <n v="285.49"/>
  </r>
  <r>
    <s v="ORD-1163"/>
    <x v="195"/>
    <x v="1"/>
    <x v="6"/>
    <x v="2"/>
    <n v="459.72"/>
    <n v="82.75"/>
    <n v="2"/>
    <n v="0.18000087009484034"/>
    <n v="919.44"/>
  </r>
  <r>
    <s v="ORD-1195"/>
    <x v="196"/>
    <x v="1"/>
    <x v="2"/>
    <x v="1"/>
    <n v="1779.6"/>
    <n v="427.1"/>
    <n v="4"/>
    <n v="0.23999775230388853"/>
    <n v="7118.4"/>
  </r>
  <r>
    <s v="ORD-1026"/>
    <x v="197"/>
    <x v="2"/>
    <x v="4"/>
    <x v="0"/>
    <n v="490.2"/>
    <n v="186.28"/>
    <n v="10"/>
    <n v="0.38000815993472054"/>
    <n v="4902"/>
  </r>
  <r>
    <s v="ORD-1112"/>
    <x v="198"/>
    <x v="2"/>
    <x v="8"/>
    <x v="0"/>
    <n v="2198.11"/>
    <n v="703.4"/>
    <n v="19"/>
    <n v="0.3200021836941736"/>
    <n v="41764.090000000004"/>
  </r>
  <r>
    <s v="ORD-1024"/>
    <x v="199"/>
    <x v="3"/>
    <x v="8"/>
    <x v="0"/>
    <n v="1887.85"/>
    <n v="604.11"/>
    <n v="17"/>
    <n v="0.31999894059379719"/>
    <n v="32093.4499999999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d v="2024-07-04T00:00:00"/>
    <x v="0"/>
    <x v="0"/>
    <x v="0"/>
    <x v="0"/>
    <n v="147.56"/>
    <n v="51.65"/>
    <n v="2"/>
    <n v="0.35002710761724043"/>
    <n v="295.12"/>
  </r>
  <r>
    <x v="1"/>
    <d v="2024-07-05T00:00:00"/>
    <x v="0"/>
    <x v="1"/>
    <x v="1"/>
    <x v="1"/>
    <n v="1960.7"/>
    <n v="490.18"/>
    <n v="5"/>
    <n v="0.25000255010965472"/>
    <n v="9803.5"/>
  </r>
  <r>
    <x v="2"/>
    <d v="2024-07-06T00:00:00"/>
    <x v="0"/>
    <x v="1"/>
    <x v="2"/>
    <x v="1"/>
    <n v="3280.59"/>
    <n v="787.34"/>
    <n v="9"/>
    <n v="0.23999951228285155"/>
    <n v="29525.31"/>
  </r>
  <r>
    <x v="3"/>
    <d v="2024-07-07T00:00:00"/>
    <x v="0"/>
    <x v="0"/>
    <x v="3"/>
    <x v="0"/>
    <n v="2458.54"/>
    <n v="737.56"/>
    <n v="17"/>
    <n v="0.29999918650906632"/>
    <n v="41795.18"/>
  </r>
  <r>
    <x v="4"/>
    <d v="2024-07-08T00:00:00"/>
    <x v="0"/>
    <x v="1"/>
    <x v="4"/>
    <x v="0"/>
    <n v="718.9"/>
    <n v="273.18"/>
    <n v="13"/>
    <n v="0.37999721797190156"/>
    <n v="9345.6999999999989"/>
  </r>
  <r>
    <x v="5"/>
    <d v="2024-07-09T00:00:00"/>
    <x v="0"/>
    <x v="1"/>
    <x v="3"/>
    <x v="0"/>
    <n v="659.88"/>
    <n v="197.96"/>
    <n v="4"/>
    <n v="0.29999393829181065"/>
    <n v="2639.52"/>
  </r>
  <r>
    <x v="6"/>
    <d v="2024-07-10T00:00:00"/>
    <x v="0"/>
    <x v="2"/>
    <x v="3"/>
    <x v="0"/>
    <n v="1534.1"/>
    <n v="460.23"/>
    <n v="10"/>
    <n v="0.30000000000000004"/>
    <n v="15341"/>
  </r>
  <r>
    <x v="7"/>
    <d v="2024-07-11T00:00:00"/>
    <x v="0"/>
    <x v="1"/>
    <x v="4"/>
    <x v="0"/>
    <n v="970.92"/>
    <n v="368.95"/>
    <n v="18"/>
    <n v="0.38000041198038975"/>
    <n v="17476.559999999998"/>
  </r>
  <r>
    <x v="8"/>
    <d v="2024-07-12T00:00:00"/>
    <x v="0"/>
    <x v="3"/>
    <x v="5"/>
    <x v="1"/>
    <n v="2200.08"/>
    <n v="440.02"/>
    <n v="6"/>
    <n v="0.20000181811570489"/>
    <n v="13200.48"/>
  </r>
  <r>
    <x v="9"/>
    <d v="2024-07-13T00:00:00"/>
    <x v="0"/>
    <x v="3"/>
    <x v="6"/>
    <x v="2"/>
    <n v="4079.55"/>
    <n v="734.32"/>
    <n v="15"/>
    <n v="0.18000024512507506"/>
    <n v="61193.25"/>
  </r>
  <r>
    <x v="10"/>
    <d v="2024-07-14T00:00:00"/>
    <x v="0"/>
    <x v="2"/>
    <x v="7"/>
    <x v="1"/>
    <n v="7270.68"/>
    <n v="2035.79"/>
    <n v="12"/>
    <n v="0.27999994498451314"/>
    <n v="87248.16"/>
  </r>
  <r>
    <x v="11"/>
    <d v="2024-07-15T00:00:00"/>
    <x v="0"/>
    <x v="2"/>
    <x v="7"/>
    <x v="1"/>
    <n v="4986.72"/>
    <n v="1396.28"/>
    <n v="9"/>
    <n v="0.27999967914781659"/>
    <n v="44880.480000000003"/>
  </r>
  <r>
    <x v="12"/>
    <d v="2024-07-16T00:00:00"/>
    <x v="0"/>
    <x v="3"/>
    <x v="8"/>
    <x v="0"/>
    <n v="356.76"/>
    <n v="114.16"/>
    <n v="3"/>
    <n v="0.31999103038457227"/>
    <n v="1070.28"/>
  </r>
  <r>
    <x v="13"/>
    <d v="2024-07-17T00:00:00"/>
    <x v="0"/>
    <x v="3"/>
    <x v="3"/>
    <x v="0"/>
    <n v="1416.69"/>
    <n v="425.01"/>
    <n v="11"/>
    <n v="0.30000211761218049"/>
    <n v="15583.59"/>
  </r>
  <r>
    <x v="14"/>
    <d v="2024-07-18T00:00:00"/>
    <x v="0"/>
    <x v="3"/>
    <x v="2"/>
    <x v="1"/>
    <n v="2983.6"/>
    <n v="716.06"/>
    <n v="8"/>
    <n v="0.23999865933771283"/>
    <n v="23868.799999999999"/>
  </r>
  <r>
    <x v="15"/>
    <d v="2024-07-19T00:00:00"/>
    <x v="0"/>
    <x v="3"/>
    <x v="6"/>
    <x v="2"/>
    <n v="2034.99"/>
    <n v="366.3"/>
    <n v="9"/>
    <n v="0.18000088452523108"/>
    <n v="18314.91"/>
  </r>
  <r>
    <x v="16"/>
    <d v="2024-07-20T00:00:00"/>
    <x v="0"/>
    <x v="3"/>
    <x v="5"/>
    <x v="1"/>
    <n v="5628.42"/>
    <n v="1125.68"/>
    <n v="18"/>
    <n v="0.19999928932098174"/>
    <n v="101311.56"/>
  </r>
  <r>
    <x v="17"/>
    <d v="2024-07-21T00:00:00"/>
    <x v="0"/>
    <x v="0"/>
    <x v="6"/>
    <x v="2"/>
    <n v="3938.55"/>
    <n v="708.94"/>
    <n v="15"/>
    <n v="0.18000025390054716"/>
    <n v="59078.25"/>
  </r>
  <r>
    <x v="18"/>
    <d v="2024-07-22T00:00:00"/>
    <x v="0"/>
    <x v="0"/>
    <x v="7"/>
    <x v="1"/>
    <n v="4330.32"/>
    <n v="1212.49"/>
    <n v="8"/>
    <n v="0.28000009237192636"/>
    <n v="34642.559999999998"/>
  </r>
  <r>
    <x v="19"/>
    <d v="2024-07-23T00:00:00"/>
    <x v="0"/>
    <x v="2"/>
    <x v="4"/>
    <x v="0"/>
    <n v="721.11"/>
    <n v="274.02"/>
    <n v="13"/>
    <n v="0.37999750384823394"/>
    <n v="9374.43"/>
  </r>
  <r>
    <x v="20"/>
    <d v="2024-07-24T00:00:00"/>
    <x v="0"/>
    <x v="3"/>
    <x v="1"/>
    <x v="1"/>
    <n v="3012.8"/>
    <n v="753.2"/>
    <n v="7"/>
    <n v="0.25"/>
    <n v="21089.600000000002"/>
  </r>
  <r>
    <x v="21"/>
    <d v="2024-07-25T00:00:00"/>
    <x v="0"/>
    <x v="3"/>
    <x v="7"/>
    <x v="1"/>
    <n v="10339.99"/>
    <n v="2895.2"/>
    <n v="19"/>
    <n v="0.28000027079329864"/>
    <n v="196459.81"/>
  </r>
  <r>
    <x v="22"/>
    <d v="2024-07-26T00:00:00"/>
    <x v="0"/>
    <x v="0"/>
    <x v="2"/>
    <x v="1"/>
    <n v="3364.29"/>
    <n v="807.43"/>
    <n v="9"/>
    <n v="0.24000011889581455"/>
    <n v="30278.61"/>
  </r>
  <r>
    <x v="23"/>
    <d v="2024-07-27T00:00:00"/>
    <x v="0"/>
    <x v="0"/>
    <x v="0"/>
    <x v="0"/>
    <n v="785.1"/>
    <n v="274.77999999999997"/>
    <n v="10"/>
    <n v="0.34999363138453693"/>
    <n v="7851"/>
  </r>
  <r>
    <x v="24"/>
    <d v="2024-07-28T00:00:00"/>
    <x v="0"/>
    <x v="1"/>
    <x v="2"/>
    <x v="1"/>
    <n v="2082.6999999999998"/>
    <n v="499.85"/>
    <n v="5"/>
    <n v="0.24000096029192877"/>
    <n v="10413.5"/>
  </r>
  <r>
    <x v="25"/>
    <d v="2024-07-29T00:00:00"/>
    <x v="0"/>
    <x v="0"/>
    <x v="1"/>
    <x v="1"/>
    <n v="4118.8999999999996"/>
    <n v="1029.72"/>
    <n v="10"/>
    <n v="0.24999878608366313"/>
    <n v="41189"/>
  </r>
  <r>
    <x v="26"/>
    <d v="2024-07-30T00:00:00"/>
    <x v="0"/>
    <x v="1"/>
    <x v="3"/>
    <x v="0"/>
    <n v="2326.0500000000002"/>
    <n v="697.82"/>
    <n v="15"/>
    <n v="0.30000214956686228"/>
    <n v="34890.75"/>
  </r>
  <r>
    <x v="27"/>
    <d v="2024-07-31T00:00:00"/>
    <x v="0"/>
    <x v="2"/>
    <x v="1"/>
    <x v="1"/>
    <n v="5533.68"/>
    <n v="1383.42"/>
    <n v="12"/>
    <n v="0.25"/>
    <n v="66404.160000000003"/>
  </r>
  <r>
    <x v="28"/>
    <d v="2024-08-01T00:00:00"/>
    <x v="1"/>
    <x v="1"/>
    <x v="5"/>
    <x v="1"/>
    <n v="4267.8999999999996"/>
    <n v="853.58"/>
    <n v="14"/>
    <n v="0.20000000000000004"/>
    <n v="59750.599999999991"/>
  </r>
  <r>
    <x v="29"/>
    <d v="2024-08-02T00:00:00"/>
    <x v="1"/>
    <x v="0"/>
    <x v="1"/>
    <x v="1"/>
    <n v="3375.47"/>
    <n v="843.87"/>
    <n v="7"/>
    <n v="0.25000074063760014"/>
    <n v="23628.289999999997"/>
  </r>
  <r>
    <x v="30"/>
    <d v="2024-08-03T00:00:00"/>
    <x v="1"/>
    <x v="2"/>
    <x v="8"/>
    <x v="0"/>
    <n v="2106.34"/>
    <n v="674.03"/>
    <n v="19"/>
    <n v="0.32000056970859403"/>
    <n v="40020.460000000006"/>
  </r>
  <r>
    <x v="31"/>
    <d v="2024-08-04T00:00:00"/>
    <x v="1"/>
    <x v="3"/>
    <x v="5"/>
    <x v="1"/>
    <n v="3954.6"/>
    <n v="790.92"/>
    <n v="12"/>
    <n v="0.19999999999999998"/>
    <n v="47455.199999999997"/>
  </r>
  <r>
    <x v="32"/>
    <d v="2024-08-05T00:00:00"/>
    <x v="1"/>
    <x v="2"/>
    <x v="6"/>
    <x v="2"/>
    <n v="727.65"/>
    <n v="130.97999999999999"/>
    <n v="3"/>
    <n v="0.18000412286126571"/>
    <n v="2182.9499999999998"/>
  </r>
  <r>
    <x v="33"/>
    <d v="2024-08-06T00:00:00"/>
    <x v="1"/>
    <x v="0"/>
    <x v="0"/>
    <x v="0"/>
    <n v="1099.8"/>
    <n v="384.93"/>
    <n v="13"/>
    <n v="0.35000000000000003"/>
    <n v="14297.4"/>
  </r>
  <r>
    <x v="34"/>
    <d v="2024-08-07T00:00:00"/>
    <x v="1"/>
    <x v="1"/>
    <x v="2"/>
    <x v="1"/>
    <n v="6162.38"/>
    <n v="1478.97"/>
    <n v="14"/>
    <n v="0.23999980527004178"/>
    <n v="86273.32"/>
  </r>
  <r>
    <x v="35"/>
    <d v="2024-08-08T00:00:00"/>
    <x v="1"/>
    <x v="3"/>
    <x v="5"/>
    <x v="1"/>
    <n v="5692.64"/>
    <n v="1138.53"/>
    <n v="16"/>
    <n v="0.20000035133084121"/>
    <n v="91082.240000000005"/>
  </r>
  <r>
    <x v="36"/>
    <d v="2024-08-09T00:00:00"/>
    <x v="1"/>
    <x v="1"/>
    <x v="2"/>
    <x v="1"/>
    <n v="9161.2000000000007"/>
    <n v="2198.69"/>
    <n v="20"/>
    <n v="0.24000021831201152"/>
    <n v="183224"/>
  </r>
  <r>
    <x v="37"/>
    <d v="2024-08-10T00:00:00"/>
    <x v="1"/>
    <x v="2"/>
    <x v="8"/>
    <x v="0"/>
    <n v="1450.15"/>
    <n v="464.05"/>
    <n v="13"/>
    <n v="0.3200013791676723"/>
    <n v="18851.95"/>
  </r>
  <r>
    <x v="38"/>
    <d v="2024-08-11T00:00:00"/>
    <x v="1"/>
    <x v="1"/>
    <x v="7"/>
    <x v="1"/>
    <n v="7505.64"/>
    <n v="2101.58"/>
    <n v="12"/>
    <n v="0.28000010658651359"/>
    <n v="90067.680000000008"/>
  </r>
  <r>
    <x v="39"/>
    <d v="2024-08-12T00:00:00"/>
    <x v="1"/>
    <x v="0"/>
    <x v="7"/>
    <x v="1"/>
    <n v="9538.5"/>
    <n v="2670.78"/>
    <n v="15"/>
    <n v="0.28000000000000003"/>
    <n v="143077.5"/>
  </r>
  <r>
    <x v="40"/>
    <d v="2024-08-13T00:00:00"/>
    <x v="1"/>
    <x v="2"/>
    <x v="1"/>
    <x v="1"/>
    <n v="6206.48"/>
    <n v="1551.62"/>
    <n v="14"/>
    <n v="0.25"/>
    <n v="86890.72"/>
  </r>
  <r>
    <x v="41"/>
    <d v="2024-08-14T00:00:00"/>
    <x v="1"/>
    <x v="0"/>
    <x v="8"/>
    <x v="0"/>
    <n v="1067.8499999999999"/>
    <n v="341.71"/>
    <n v="9"/>
    <n v="0.31999812707777309"/>
    <n v="9610.65"/>
  </r>
  <r>
    <x v="42"/>
    <d v="2024-08-15T00:00:00"/>
    <x v="1"/>
    <x v="3"/>
    <x v="8"/>
    <x v="0"/>
    <n v="1440.14"/>
    <n v="460.84"/>
    <n v="13"/>
    <n v="0.31999666699070922"/>
    <n v="18721.82"/>
  </r>
  <r>
    <x v="43"/>
    <d v="2024-08-16T00:00:00"/>
    <x v="1"/>
    <x v="0"/>
    <x v="1"/>
    <x v="1"/>
    <n v="1315.53"/>
    <n v="328.88"/>
    <n v="3"/>
    <n v="0.24999809962524611"/>
    <n v="3946.59"/>
  </r>
  <r>
    <x v="44"/>
    <d v="2024-08-17T00:00:00"/>
    <x v="1"/>
    <x v="1"/>
    <x v="9"/>
    <x v="1"/>
    <n v="15585.6"/>
    <n v="3428.83"/>
    <n v="17"/>
    <n v="0.21999987167641924"/>
    <n v="264955.2"/>
  </r>
  <r>
    <x v="45"/>
    <d v="2024-08-18T00:00:00"/>
    <x v="1"/>
    <x v="2"/>
    <x v="1"/>
    <x v="1"/>
    <n v="7833.4"/>
    <n v="1958.35"/>
    <n v="20"/>
    <n v="0.25"/>
    <n v="156668"/>
  </r>
  <r>
    <x v="46"/>
    <d v="2024-08-19T00:00:00"/>
    <x v="1"/>
    <x v="0"/>
    <x v="6"/>
    <x v="2"/>
    <n v="2006.73"/>
    <n v="361.21"/>
    <n v="9"/>
    <n v="0.17999930234760031"/>
    <n v="18060.57"/>
  </r>
  <r>
    <x v="47"/>
    <d v="2024-08-20T00:00:00"/>
    <x v="1"/>
    <x v="2"/>
    <x v="3"/>
    <x v="0"/>
    <n v="671.05"/>
    <n v="201.31"/>
    <n v="5"/>
    <n v="0.29999254899038824"/>
    <n v="3355.25"/>
  </r>
  <r>
    <x v="48"/>
    <d v="2024-08-21T00:00:00"/>
    <x v="1"/>
    <x v="2"/>
    <x v="2"/>
    <x v="1"/>
    <n v="6964.2"/>
    <n v="1671.41"/>
    <n v="20"/>
    <n v="0.24000028718302177"/>
    <n v="139284"/>
  </r>
  <r>
    <x v="49"/>
    <d v="2024-08-22T00:00:00"/>
    <x v="1"/>
    <x v="3"/>
    <x v="7"/>
    <x v="1"/>
    <n v="1329.1"/>
    <n v="372.15"/>
    <n v="2"/>
    <n v="0.28000150477766911"/>
    <n v="2658.2"/>
  </r>
  <r>
    <x v="50"/>
    <d v="2024-08-23T00:00:00"/>
    <x v="1"/>
    <x v="2"/>
    <x v="5"/>
    <x v="1"/>
    <n v="3867.8"/>
    <n v="773.56"/>
    <n v="10"/>
    <n v="0.19999999999999998"/>
    <n v="38678"/>
  </r>
  <r>
    <x v="51"/>
    <d v="2024-08-24T00:00:00"/>
    <x v="1"/>
    <x v="2"/>
    <x v="9"/>
    <x v="1"/>
    <n v="6119.28"/>
    <n v="1346.24"/>
    <n v="8"/>
    <n v="0.21999973853133051"/>
    <n v="48954.239999999998"/>
  </r>
  <r>
    <x v="52"/>
    <d v="2024-08-25T00:00:00"/>
    <x v="1"/>
    <x v="3"/>
    <x v="8"/>
    <x v="0"/>
    <n v="772.62"/>
    <n v="247.24"/>
    <n v="6"/>
    <n v="0.32000207087572158"/>
    <n v="4635.72"/>
  </r>
  <r>
    <x v="53"/>
    <d v="2024-08-26T00:00:00"/>
    <x v="1"/>
    <x v="1"/>
    <x v="2"/>
    <x v="1"/>
    <n v="353.84"/>
    <n v="84.92"/>
    <n v="1"/>
    <n v="0.23999547818222927"/>
    <n v="353.84"/>
  </r>
  <r>
    <x v="54"/>
    <d v="2024-08-27T00:00:00"/>
    <x v="1"/>
    <x v="2"/>
    <x v="7"/>
    <x v="1"/>
    <n v="6856.33"/>
    <n v="1919.77"/>
    <n v="13"/>
    <n v="0.27999964995850551"/>
    <n v="89132.29"/>
  </r>
  <r>
    <x v="55"/>
    <d v="2024-08-28T00:00:00"/>
    <x v="1"/>
    <x v="2"/>
    <x v="1"/>
    <x v="1"/>
    <n v="7808.16"/>
    <n v="1952.04"/>
    <n v="16"/>
    <n v="0.25"/>
    <n v="124930.56"/>
  </r>
  <r>
    <x v="56"/>
    <d v="2024-08-29T00:00:00"/>
    <x v="1"/>
    <x v="2"/>
    <x v="7"/>
    <x v="1"/>
    <n v="10510.08"/>
    <n v="2942.82"/>
    <n v="16"/>
    <n v="0.27999977164778955"/>
    <n v="168161.28"/>
  </r>
  <r>
    <x v="57"/>
    <d v="2024-08-30T00:00:00"/>
    <x v="1"/>
    <x v="1"/>
    <x v="2"/>
    <x v="1"/>
    <n v="7436.79"/>
    <n v="1784.83"/>
    <n v="19"/>
    <n v="0.24000005378664718"/>
    <n v="141299.01"/>
  </r>
  <r>
    <x v="58"/>
    <d v="2024-08-31T00:00:00"/>
    <x v="1"/>
    <x v="1"/>
    <x v="4"/>
    <x v="0"/>
    <n v="46.74"/>
    <n v="17.760000000000002"/>
    <n v="1"/>
    <n v="0.37997432605905007"/>
    <n v="46.74"/>
  </r>
  <r>
    <x v="59"/>
    <d v="2024-09-01T00:00:00"/>
    <x v="2"/>
    <x v="0"/>
    <x v="3"/>
    <x v="0"/>
    <n v="419.79"/>
    <n v="125.94"/>
    <n v="3"/>
    <n v="0.30000714643035803"/>
    <n v="1259.3700000000001"/>
  </r>
  <r>
    <x v="60"/>
    <d v="2024-09-02T00:00:00"/>
    <x v="2"/>
    <x v="1"/>
    <x v="4"/>
    <x v="0"/>
    <n v="1060.4000000000001"/>
    <n v="402.95"/>
    <n v="20"/>
    <n v="0.37999811391927568"/>
    <n v="21208"/>
  </r>
  <r>
    <x v="61"/>
    <d v="2024-09-03T00:00:00"/>
    <x v="2"/>
    <x v="1"/>
    <x v="5"/>
    <x v="1"/>
    <n v="2564.2399999999998"/>
    <n v="512.85"/>
    <n v="7"/>
    <n v="0.20000077995819426"/>
    <n v="17949.68"/>
  </r>
  <r>
    <x v="62"/>
    <d v="2024-09-04T00:00:00"/>
    <x v="2"/>
    <x v="1"/>
    <x v="0"/>
    <x v="0"/>
    <n v="567.20000000000005"/>
    <n v="198.52"/>
    <n v="8"/>
    <n v="0.35"/>
    <n v="4537.6000000000004"/>
  </r>
  <r>
    <x v="63"/>
    <d v="2024-09-05T00:00:00"/>
    <x v="2"/>
    <x v="2"/>
    <x v="3"/>
    <x v="0"/>
    <n v="1430.77"/>
    <n v="429.23"/>
    <n v="11"/>
    <n v="0.2999993010756446"/>
    <n v="15738.47"/>
  </r>
  <r>
    <x v="64"/>
    <d v="2024-09-06T00:00:00"/>
    <x v="2"/>
    <x v="0"/>
    <x v="9"/>
    <x v="1"/>
    <n v="2860.14"/>
    <n v="629.23"/>
    <n v="3"/>
    <n v="0.21999972029341222"/>
    <n v="8580.42"/>
  </r>
  <r>
    <x v="65"/>
    <d v="2024-09-07T00:00:00"/>
    <x v="2"/>
    <x v="0"/>
    <x v="0"/>
    <x v="0"/>
    <n v="500.78"/>
    <n v="175.27"/>
    <n v="7"/>
    <n v="0.34999400934542119"/>
    <n v="3505.46"/>
  </r>
  <r>
    <x v="66"/>
    <d v="2024-09-08T00:00:00"/>
    <x v="2"/>
    <x v="3"/>
    <x v="7"/>
    <x v="1"/>
    <n v="1828.11"/>
    <n v="511.87"/>
    <n v="3"/>
    <n v="0.27999956238957174"/>
    <n v="5484.33"/>
  </r>
  <r>
    <x v="67"/>
    <d v="2024-09-09T00:00:00"/>
    <x v="2"/>
    <x v="3"/>
    <x v="0"/>
    <x v="0"/>
    <n v="792.36"/>
    <n v="277.33"/>
    <n v="9"/>
    <n v="0.3500050482104094"/>
    <n v="7131.24"/>
  </r>
  <r>
    <x v="68"/>
    <d v="2024-09-10T00:00:00"/>
    <x v="2"/>
    <x v="0"/>
    <x v="8"/>
    <x v="0"/>
    <n v="2026.5"/>
    <n v="648.48"/>
    <n v="15"/>
    <n v="0.32"/>
    <n v="30397.5"/>
  </r>
  <r>
    <x v="69"/>
    <d v="2024-09-11T00:00:00"/>
    <x v="2"/>
    <x v="1"/>
    <x v="2"/>
    <x v="1"/>
    <n v="5307.96"/>
    <n v="1273.9100000000001"/>
    <n v="14"/>
    <n v="0.23999992464148187"/>
    <n v="74311.44"/>
  </r>
  <r>
    <x v="70"/>
    <d v="2024-09-12T00:00:00"/>
    <x v="2"/>
    <x v="0"/>
    <x v="2"/>
    <x v="1"/>
    <n v="7026.12"/>
    <n v="1686.27"/>
    <n v="18"/>
    <n v="0.24000017079127597"/>
    <n v="126470.16"/>
  </r>
  <r>
    <x v="71"/>
    <d v="2024-09-13T00:00:00"/>
    <x v="2"/>
    <x v="2"/>
    <x v="4"/>
    <x v="0"/>
    <n v="1021.68"/>
    <n v="388.24"/>
    <n v="18"/>
    <n v="0.38000156604807772"/>
    <n v="18390.239999999998"/>
  </r>
  <r>
    <x v="72"/>
    <d v="2024-09-14T00:00:00"/>
    <x v="2"/>
    <x v="1"/>
    <x v="9"/>
    <x v="1"/>
    <n v="11639.52"/>
    <n v="2560.69"/>
    <n v="16"/>
    <n v="0.21999962197753858"/>
    <n v="186232.32000000001"/>
  </r>
  <r>
    <x v="73"/>
    <d v="2024-09-15T00:00:00"/>
    <x v="2"/>
    <x v="0"/>
    <x v="7"/>
    <x v="1"/>
    <n v="11542.32"/>
    <n v="3231.85"/>
    <n v="18"/>
    <n v="0.280000034655078"/>
    <n v="207761.76"/>
  </r>
  <r>
    <x v="74"/>
    <d v="2024-09-16T00:00:00"/>
    <x v="2"/>
    <x v="2"/>
    <x v="5"/>
    <x v="1"/>
    <n v="2375.38"/>
    <n v="475.08"/>
    <n v="7"/>
    <n v="0.20000168394109571"/>
    <n v="16627.66"/>
  </r>
  <r>
    <x v="75"/>
    <d v="2024-09-17T00:00:00"/>
    <x v="2"/>
    <x v="3"/>
    <x v="8"/>
    <x v="0"/>
    <n v="470.44"/>
    <n v="150.54"/>
    <n v="4"/>
    <n v="0.31999829946433123"/>
    <n v="1881.76"/>
  </r>
  <r>
    <x v="76"/>
    <d v="2024-09-18T00:00:00"/>
    <x v="2"/>
    <x v="2"/>
    <x v="9"/>
    <x v="1"/>
    <n v="6186.72"/>
    <n v="1361.08"/>
    <n v="8"/>
    <n v="0.22000025861846018"/>
    <n v="49493.760000000002"/>
  </r>
  <r>
    <x v="77"/>
    <d v="2024-09-19T00:00:00"/>
    <x v="2"/>
    <x v="1"/>
    <x v="4"/>
    <x v="0"/>
    <n v="722.26"/>
    <n v="274.45999999999998"/>
    <n v="14"/>
    <n v="0.38000166145155484"/>
    <n v="10111.64"/>
  </r>
  <r>
    <x v="78"/>
    <d v="2024-09-20T00:00:00"/>
    <x v="2"/>
    <x v="1"/>
    <x v="0"/>
    <x v="0"/>
    <n v="703.52"/>
    <n v="246.23"/>
    <n v="8"/>
    <n v="0.34999715715260404"/>
    <n v="5628.16"/>
  </r>
  <r>
    <x v="79"/>
    <d v="2024-09-21T00:00:00"/>
    <x v="2"/>
    <x v="0"/>
    <x v="2"/>
    <x v="1"/>
    <n v="4852.54"/>
    <n v="1164.6099999999999"/>
    <n v="11"/>
    <n v="0.24000008243105669"/>
    <n v="53377.94"/>
  </r>
  <r>
    <x v="80"/>
    <d v="2024-09-22T00:00:00"/>
    <x v="2"/>
    <x v="2"/>
    <x v="9"/>
    <x v="1"/>
    <n v="13075.72"/>
    <n v="2876.66"/>
    <n v="14"/>
    <n v="0.22000012236419869"/>
    <n v="183060.08"/>
  </r>
  <r>
    <x v="81"/>
    <d v="2024-09-23T00:00:00"/>
    <x v="2"/>
    <x v="3"/>
    <x v="0"/>
    <x v="0"/>
    <n v="632.03"/>
    <n v="221.21"/>
    <n v="7"/>
    <n v="0.34999920889831182"/>
    <n v="4424.21"/>
  </r>
  <r>
    <x v="82"/>
    <d v="2024-09-24T00:00:00"/>
    <x v="2"/>
    <x v="2"/>
    <x v="7"/>
    <x v="1"/>
    <n v="11133.05"/>
    <n v="3117.25"/>
    <n v="19"/>
    <n v="0.2799996407094193"/>
    <n v="211527.94999999998"/>
  </r>
  <r>
    <x v="83"/>
    <d v="2024-09-25T00:00:00"/>
    <x v="2"/>
    <x v="3"/>
    <x v="0"/>
    <x v="0"/>
    <n v="1176.75"/>
    <n v="411.86"/>
    <n v="15"/>
    <n v="0.34999787550456768"/>
    <n v="17651.25"/>
  </r>
  <r>
    <x v="84"/>
    <d v="2024-09-26T00:00:00"/>
    <x v="2"/>
    <x v="1"/>
    <x v="4"/>
    <x v="0"/>
    <n v="43.87"/>
    <n v="16.670000000000002"/>
    <n v="1"/>
    <n v="0.3799863232277183"/>
    <n v="43.87"/>
  </r>
  <r>
    <x v="85"/>
    <d v="2024-09-27T00:00:00"/>
    <x v="2"/>
    <x v="0"/>
    <x v="0"/>
    <x v="0"/>
    <n v="684.54"/>
    <n v="239.59"/>
    <n v="9"/>
    <n v="0.35000146083501332"/>
    <n v="6160.86"/>
  </r>
  <r>
    <x v="86"/>
    <d v="2024-09-28T00:00:00"/>
    <x v="2"/>
    <x v="2"/>
    <x v="9"/>
    <x v="1"/>
    <n v="2890.47"/>
    <n v="635.9"/>
    <n v="3"/>
    <n v="0.21999882372070978"/>
    <n v="8671.41"/>
  </r>
  <r>
    <x v="87"/>
    <d v="2024-09-29T00:00:00"/>
    <x v="2"/>
    <x v="3"/>
    <x v="4"/>
    <x v="0"/>
    <n v="808.5"/>
    <n v="307.23"/>
    <n v="15"/>
    <n v="0.38"/>
    <n v="12127.5"/>
  </r>
  <r>
    <x v="88"/>
    <d v="2024-09-30T00:00:00"/>
    <x v="2"/>
    <x v="1"/>
    <x v="0"/>
    <x v="0"/>
    <n v="548.24"/>
    <n v="191.88"/>
    <n v="7"/>
    <n v="0.3499927039252882"/>
    <n v="3837.6800000000003"/>
  </r>
  <r>
    <x v="89"/>
    <d v="2024-10-01T00:00:00"/>
    <x v="3"/>
    <x v="2"/>
    <x v="8"/>
    <x v="0"/>
    <n v="2300.44"/>
    <n v="736.14"/>
    <n v="17"/>
    <n v="0.31999965224044097"/>
    <n v="39107.480000000003"/>
  </r>
  <r>
    <x v="90"/>
    <d v="2024-10-02T00:00:00"/>
    <x v="3"/>
    <x v="0"/>
    <x v="4"/>
    <x v="0"/>
    <n v="1022.4"/>
    <n v="388.51"/>
    <n v="18"/>
    <n v="0.37999804381846636"/>
    <n v="18403.2"/>
  </r>
  <r>
    <x v="91"/>
    <d v="2024-10-03T00:00:00"/>
    <x v="3"/>
    <x v="2"/>
    <x v="3"/>
    <x v="0"/>
    <n v="1089.55"/>
    <n v="326.86"/>
    <n v="7"/>
    <n v="0.29999541094947457"/>
    <n v="7626.8499999999995"/>
  </r>
  <r>
    <x v="92"/>
    <d v="2024-10-04T00:00:00"/>
    <x v="3"/>
    <x v="1"/>
    <x v="3"/>
    <x v="0"/>
    <n v="2586.85"/>
    <n v="776.05"/>
    <n v="19"/>
    <n v="0.2999980671473027"/>
    <n v="49150.15"/>
  </r>
  <r>
    <x v="93"/>
    <d v="2024-10-05T00:00:00"/>
    <x v="3"/>
    <x v="2"/>
    <x v="3"/>
    <x v="0"/>
    <n v="1380.87"/>
    <n v="414.26"/>
    <n v="9"/>
    <n v="0.29999927581886782"/>
    <n v="12427.829999999998"/>
  </r>
  <r>
    <x v="94"/>
    <d v="2024-10-06T00:00:00"/>
    <x v="3"/>
    <x v="0"/>
    <x v="8"/>
    <x v="0"/>
    <n v="2187.6799999999998"/>
    <n v="700.06"/>
    <n v="16"/>
    <n v="0.32000109705258539"/>
    <n v="35002.879999999997"/>
  </r>
  <r>
    <x v="95"/>
    <d v="2024-10-07T00:00:00"/>
    <x v="3"/>
    <x v="0"/>
    <x v="5"/>
    <x v="1"/>
    <n v="3553.4"/>
    <n v="710.68"/>
    <n v="10"/>
    <n v="0.19999999999999998"/>
    <n v="35534"/>
  </r>
  <r>
    <x v="96"/>
    <d v="2024-10-08T00:00:00"/>
    <x v="3"/>
    <x v="2"/>
    <x v="6"/>
    <x v="2"/>
    <n v="3090.23"/>
    <n v="556.24"/>
    <n v="13"/>
    <n v="0.17999954695928783"/>
    <n v="40172.99"/>
  </r>
  <r>
    <x v="97"/>
    <d v="2024-10-09T00:00:00"/>
    <x v="3"/>
    <x v="1"/>
    <x v="0"/>
    <x v="0"/>
    <n v="1064.7"/>
    <n v="372.64"/>
    <n v="15"/>
    <n v="0.34999530384145766"/>
    <n v="15970.5"/>
  </r>
  <r>
    <x v="98"/>
    <d v="2024-10-10T00:00:00"/>
    <x v="3"/>
    <x v="2"/>
    <x v="2"/>
    <x v="1"/>
    <n v="5258.55"/>
    <n v="1262.05"/>
    <n v="15"/>
    <n v="0.23999961966701847"/>
    <n v="78878.25"/>
  </r>
  <r>
    <x v="99"/>
    <d v="2024-10-11T00:00:00"/>
    <x v="3"/>
    <x v="0"/>
    <x v="1"/>
    <x v="1"/>
    <n v="8165.12"/>
    <n v="2041.28"/>
    <n v="16"/>
    <n v="0.25"/>
    <n v="130641.92"/>
  </r>
  <r>
    <x v="100"/>
    <d v="2024-10-12T00:00:00"/>
    <x v="3"/>
    <x v="3"/>
    <x v="2"/>
    <x v="1"/>
    <n v="1292.07"/>
    <n v="310.10000000000002"/>
    <n v="3"/>
    <n v="0.24000247664600219"/>
    <n v="3876.21"/>
  </r>
  <r>
    <x v="101"/>
    <d v="2024-10-13T00:00:00"/>
    <x v="3"/>
    <x v="1"/>
    <x v="5"/>
    <x v="1"/>
    <n v="5225.87"/>
    <n v="1045.17"/>
    <n v="13"/>
    <n v="0.19999923457720917"/>
    <n v="67936.31"/>
  </r>
  <r>
    <x v="102"/>
    <d v="2024-10-14T00:00:00"/>
    <x v="3"/>
    <x v="2"/>
    <x v="4"/>
    <x v="0"/>
    <n v="887.57"/>
    <n v="337.28"/>
    <n v="17"/>
    <n v="0.38000383068377702"/>
    <n v="15088.69"/>
  </r>
  <r>
    <x v="103"/>
    <d v="2024-10-15T00:00:00"/>
    <x v="3"/>
    <x v="0"/>
    <x v="4"/>
    <x v="0"/>
    <n v="450.72"/>
    <n v="171.27"/>
    <n v="9"/>
    <n v="0.37999201277955269"/>
    <n v="4056.4800000000005"/>
  </r>
  <r>
    <x v="104"/>
    <d v="2024-10-16T00:00:00"/>
    <x v="3"/>
    <x v="2"/>
    <x v="9"/>
    <x v="1"/>
    <n v="9356.16"/>
    <n v="2058.36"/>
    <n v="12"/>
    <n v="0.22000051303098708"/>
    <n v="112273.92"/>
  </r>
  <r>
    <x v="105"/>
    <d v="2024-10-17T00:00:00"/>
    <x v="3"/>
    <x v="1"/>
    <x v="9"/>
    <x v="1"/>
    <n v="4424.8"/>
    <n v="973.46"/>
    <n v="5"/>
    <n v="0.22000090399566083"/>
    <n v="22124"/>
  </r>
  <r>
    <x v="106"/>
    <d v="2024-10-18T00:00:00"/>
    <x v="3"/>
    <x v="2"/>
    <x v="1"/>
    <x v="1"/>
    <n v="3076.44"/>
    <n v="769.11"/>
    <n v="6"/>
    <n v="0.25"/>
    <n v="18458.64"/>
  </r>
  <r>
    <x v="107"/>
    <d v="2024-10-19T00:00:00"/>
    <x v="3"/>
    <x v="2"/>
    <x v="6"/>
    <x v="2"/>
    <n v="4309.8"/>
    <n v="775.76"/>
    <n v="20"/>
    <n v="0.17999907188268596"/>
    <n v="86196"/>
  </r>
  <r>
    <x v="108"/>
    <d v="2024-10-20T00:00:00"/>
    <x v="3"/>
    <x v="2"/>
    <x v="7"/>
    <x v="1"/>
    <n v="8334.0400000000009"/>
    <n v="2333.5300000000002"/>
    <n v="13"/>
    <n v="0.27999985601221017"/>
    <n v="108342.52000000002"/>
  </r>
  <r>
    <x v="109"/>
    <d v="2024-10-21T00:00:00"/>
    <x v="3"/>
    <x v="0"/>
    <x v="1"/>
    <x v="1"/>
    <n v="6482.28"/>
    <n v="1620.57"/>
    <n v="14"/>
    <n v="0.25"/>
    <n v="90751.92"/>
  </r>
  <r>
    <x v="110"/>
    <d v="2024-10-22T00:00:00"/>
    <x v="3"/>
    <x v="0"/>
    <x v="6"/>
    <x v="2"/>
    <n v="569.12"/>
    <n v="102.44"/>
    <n v="2"/>
    <n v="0.17999718864211414"/>
    <n v="1138.24"/>
  </r>
  <r>
    <x v="111"/>
    <d v="2024-10-23T00:00:00"/>
    <x v="3"/>
    <x v="1"/>
    <x v="6"/>
    <x v="2"/>
    <n v="2002.42"/>
    <n v="360.44"/>
    <n v="7"/>
    <n v="0.18000219734121711"/>
    <n v="14016.94"/>
  </r>
  <r>
    <x v="112"/>
    <d v="2024-10-24T00:00:00"/>
    <x v="3"/>
    <x v="3"/>
    <x v="6"/>
    <x v="2"/>
    <n v="1536.99"/>
    <n v="276.66000000000003"/>
    <n v="7"/>
    <n v="0.18000117112017647"/>
    <n v="10758.93"/>
  </r>
  <r>
    <x v="113"/>
    <d v="2024-10-25T00:00:00"/>
    <x v="3"/>
    <x v="3"/>
    <x v="3"/>
    <x v="0"/>
    <n v="737.95"/>
    <n v="221.39"/>
    <n v="5"/>
    <n v="0.30000677552679716"/>
    <n v="3689.75"/>
  </r>
  <r>
    <x v="114"/>
    <d v="2024-10-26T00:00:00"/>
    <x v="3"/>
    <x v="2"/>
    <x v="7"/>
    <x v="1"/>
    <n v="10662.42"/>
    <n v="2985.48"/>
    <n v="19"/>
    <n v="0.28000022508961381"/>
    <n v="202585.98"/>
  </r>
  <r>
    <x v="115"/>
    <d v="2024-10-27T00:00:00"/>
    <x v="3"/>
    <x v="3"/>
    <x v="7"/>
    <x v="1"/>
    <n v="640.04"/>
    <n v="179.21"/>
    <n v="1"/>
    <n v="0.2799981251171802"/>
    <n v="640.04"/>
  </r>
  <r>
    <x v="116"/>
    <d v="2024-10-28T00:00:00"/>
    <x v="3"/>
    <x v="2"/>
    <x v="5"/>
    <x v="1"/>
    <n v="3735.82"/>
    <n v="747.16"/>
    <n v="11"/>
    <n v="0.1999989292846015"/>
    <n v="41094.020000000004"/>
  </r>
  <r>
    <x v="117"/>
    <d v="2024-10-29T00:00:00"/>
    <x v="3"/>
    <x v="1"/>
    <x v="3"/>
    <x v="0"/>
    <n v="2210.6999999999998"/>
    <n v="663.21"/>
    <n v="15"/>
    <n v="0.30000000000000004"/>
    <n v="33160.5"/>
  </r>
  <r>
    <x v="118"/>
    <d v="2024-10-30T00:00:00"/>
    <x v="3"/>
    <x v="2"/>
    <x v="8"/>
    <x v="0"/>
    <n v="1101.76"/>
    <n v="352.56"/>
    <n v="8"/>
    <n v="0.31999709555620098"/>
    <n v="8814.08"/>
  </r>
  <r>
    <x v="119"/>
    <d v="2024-10-31T00:00:00"/>
    <x v="3"/>
    <x v="0"/>
    <x v="4"/>
    <x v="0"/>
    <n v="420"/>
    <n v="159.6"/>
    <n v="8"/>
    <n v="0.38"/>
    <n v="3360"/>
  </r>
  <r>
    <x v="120"/>
    <d v="2024-11-01T00:00:00"/>
    <x v="4"/>
    <x v="1"/>
    <x v="3"/>
    <x v="0"/>
    <n v="161.65"/>
    <n v="48.49"/>
    <n v="1"/>
    <n v="0.29996906897618314"/>
    <n v="161.65"/>
  </r>
  <r>
    <x v="121"/>
    <d v="2024-11-02T00:00:00"/>
    <x v="4"/>
    <x v="0"/>
    <x v="6"/>
    <x v="2"/>
    <n v="3159.94"/>
    <n v="568.79"/>
    <n v="14"/>
    <n v="0.18000025316936397"/>
    <n v="44239.16"/>
  </r>
  <r>
    <x v="122"/>
    <d v="2024-11-03T00:00:00"/>
    <x v="4"/>
    <x v="2"/>
    <x v="9"/>
    <x v="1"/>
    <n v="10896.2"/>
    <n v="2397.16"/>
    <n v="14"/>
    <n v="0.21999963289954294"/>
    <n v="152546.80000000002"/>
  </r>
  <r>
    <x v="123"/>
    <d v="2024-11-04T00:00:00"/>
    <x v="4"/>
    <x v="0"/>
    <x v="7"/>
    <x v="1"/>
    <n v="5673.78"/>
    <n v="1588.66"/>
    <n v="9"/>
    <n v="0.28000028199894961"/>
    <n v="51064.02"/>
  </r>
  <r>
    <x v="124"/>
    <d v="2024-11-05T00:00:00"/>
    <x v="4"/>
    <x v="0"/>
    <x v="9"/>
    <x v="1"/>
    <n v="9737.2999999999993"/>
    <n v="2142.21"/>
    <n v="10"/>
    <n v="0.22000041079149252"/>
    <n v="97373"/>
  </r>
  <r>
    <x v="125"/>
    <d v="2024-11-06T00:00:00"/>
    <x v="4"/>
    <x v="2"/>
    <x v="9"/>
    <x v="1"/>
    <n v="16451.46"/>
    <n v="3619.32"/>
    <n v="18"/>
    <n v="0.21999992705814561"/>
    <n v="296126.27999999997"/>
  </r>
  <r>
    <x v="126"/>
    <d v="2024-11-07T00:00:00"/>
    <x v="4"/>
    <x v="3"/>
    <x v="4"/>
    <x v="0"/>
    <n v="837.59"/>
    <n v="318.27999999999997"/>
    <n v="17"/>
    <n v="0.37999498561348627"/>
    <n v="14239.03"/>
  </r>
  <r>
    <x v="127"/>
    <d v="2024-11-08T00:00:00"/>
    <x v="4"/>
    <x v="1"/>
    <x v="6"/>
    <x v="2"/>
    <n v="1709.46"/>
    <n v="307.7"/>
    <n v="6"/>
    <n v="0.17999836205585387"/>
    <n v="10256.76"/>
  </r>
  <r>
    <x v="128"/>
    <d v="2024-11-09T00:00:00"/>
    <x v="4"/>
    <x v="0"/>
    <x v="6"/>
    <x v="2"/>
    <n v="3642.34"/>
    <n v="655.62"/>
    <n v="13"/>
    <n v="0.1799996705414651"/>
    <n v="47350.42"/>
  </r>
  <r>
    <x v="129"/>
    <d v="2024-11-10T00:00:00"/>
    <x v="4"/>
    <x v="2"/>
    <x v="9"/>
    <x v="1"/>
    <n v="12461.82"/>
    <n v="2741.6"/>
    <n v="14"/>
    <n v="0.21999996790195975"/>
    <n v="174465.47999999998"/>
  </r>
  <r>
    <x v="130"/>
    <d v="2024-11-11T00:00:00"/>
    <x v="4"/>
    <x v="0"/>
    <x v="0"/>
    <x v="0"/>
    <n v="546.63"/>
    <n v="191.32"/>
    <n v="7"/>
    <n v="0.34999908530450213"/>
    <n v="3826.41"/>
  </r>
  <r>
    <x v="131"/>
    <d v="2024-11-12T00:00:00"/>
    <x v="4"/>
    <x v="1"/>
    <x v="5"/>
    <x v="1"/>
    <n v="4046.12"/>
    <n v="809.22"/>
    <n v="13"/>
    <n v="0.19999901139857446"/>
    <n v="52599.56"/>
  </r>
  <r>
    <x v="132"/>
    <d v="2024-11-13T00:00:00"/>
    <x v="4"/>
    <x v="3"/>
    <x v="6"/>
    <x v="2"/>
    <n v="2580.39"/>
    <n v="464.47"/>
    <n v="9"/>
    <n v="0.17999992249233646"/>
    <n v="23223.51"/>
  </r>
  <r>
    <x v="133"/>
    <d v="2024-11-14T00:00:00"/>
    <x v="4"/>
    <x v="1"/>
    <x v="4"/>
    <x v="0"/>
    <n v="221.48"/>
    <n v="84.16"/>
    <n v="4"/>
    <n v="0.37998916380711578"/>
    <n v="885.92"/>
  </r>
  <r>
    <x v="134"/>
    <d v="2024-11-15T00:00:00"/>
    <x v="4"/>
    <x v="1"/>
    <x v="1"/>
    <x v="1"/>
    <n v="4929.3599999999997"/>
    <n v="1232.3399999999999"/>
    <n v="12"/>
    <n v="0.25"/>
    <n v="59152.319999999992"/>
  </r>
  <r>
    <x v="135"/>
    <d v="2024-11-16T00:00:00"/>
    <x v="4"/>
    <x v="0"/>
    <x v="3"/>
    <x v="0"/>
    <n v="1857.24"/>
    <n v="557.16999999999996"/>
    <n v="14"/>
    <n v="0.29999892313325149"/>
    <n v="26001.360000000001"/>
  </r>
  <r>
    <x v="136"/>
    <d v="2024-11-17T00:00:00"/>
    <x v="4"/>
    <x v="3"/>
    <x v="1"/>
    <x v="1"/>
    <n v="8599.86"/>
    <n v="2149.9699999999998"/>
    <n v="18"/>
    <n v="0.25000058140481352"/>
    <n v="154797.48000000001"/>
  </r>
  <r>
    <x v="137"/>
    <d v="2024-11-18T00:00:00"/>
    <x v="4"/>
    <x v="3"/>
    <x v="2"/>
    <x v="1"/>
    <n v="813.78"/>
    <n v="195.31"/>
    <n v="2"/>
    <n v="0.24000344073336774"/>
    <n v="1627.56"/>
  </r>
  <r>
    <x v="138"/>
    <d v="2024-11-19T00:00:00"/>
    <x v="4"/>
    <x v="1"/>
    <x v="8"/>
    <x v="0"/>
    <n v="968.4"/>
    <n v="309.89"/>
    <n v="9"/>
    <n v="0.3200020652622883"/>
    <n v="8715.6"/>
  </r>
  <r>
    <x v="139"/>
    <d v="2024-11-20T00:00:00"/>
    <x v="4"/>
    <x v="1"/>
    <x v="3"/>
    <x v="0"/>
    <n v="2438.56"/>
    <n v="731.57"/>
    <n v="16"/>
    <n v="0.30000082015615775"/>
    <n v="39016.959999999999"/>
  </r>
  <r>
    <x v="140"/>
    <d v="2024-11-21T00:00:00"/>
    <x v="4"/>
    <x v="1"/>
    <x v="9"/>
    <x v="1"/>
    <n v="14437.28"/>
    <n v="3176.2"/>
    <n v="16"/>
    <n v="0.21999988917580041"/>
    <n v="230996.48000000001"/>
  </r>
  <r>
    <x v="141"/>
    <d v="2024-11-22T00:00:00"/>
    <x v="4"/>
    <x v="3"/>
    <x v="3"/>
    <x v="0"/>
    <n v="1328.16"/>
    <n v="398.45"/>
    <n v="8"/>
    <n v="0.30000150584266955"/>
    <n v="10625.28"/>
  </r>
  <r>
    <x v="142"/>
    <d v="2024-11-23T00:00:00"/>
    <x v="4"/>
    <x v="3"/>
    <x v="2"/>
    <x v="1"/>
    <n v="4567.42"/>
    <n v="1096.18"/>
    <n v="11"/>
    <n v="0.23999982484641222"/>
    <n v="50241.62"/>
  </r>
  <r>
    <x v="143"/>
    <d v="2024-11-24T00:00:00"/>
    <x v="4"/>
    <x v="3"/>
    <x v="9"/>
    <x v="1"/>
    <n v="19542.2"/>
    <n v="4299.28"/>
    <n v="20"/>
    <n v="0.21999979531475472"/>
    <n v="390844"/>
  </r>
  <r>
    <x v="144"/>
    <d v="2024-11-25T00:00:00"/>
    <x v="4"/>
    <x v="1"/>
    <x v="7"/>
    <x v="1"/>
    <n v="10533.37"/>
    <n v="2949.34"/>
    <n v="17"/>
    <n v="0.27999965822903783"/>
    <n v="179067.29"/>
  </r>
  <r>
    <x v="145"/>
    <d v="2024-11-26T00:00:00"/>
    <x v="4"/>
    <x v="0"/>
    <x v="3"/>
    <x v="0"/>
    <n v="1065.44"/>
    <n v="319.63"/>
    <n v="8"/>
    <n v="0.29999812284126742"/>
    <n v="8523.52"/>
  </r>
  <r>
    <x v="146"/>
    <d v="2024-11-27T00:00:00"/>
    <x v="4"/>
    <x v="3"/>
    <x v="6"/>
    <x v="2"/>
    <n v="4314.5200000000004"/>
    <n v="776.61"/>
    <n v="19"/>
    <n v="0.17999916560822524"/>
    <n v="81975.88"/>
  </r>
  <r>
    <x v="147"/>
    <d v="2024-11-28T00:00:00"/>
    <x v="4"/>
    <x v="3"/>
    <x v="0"/>
    <x v="0"/>
    <n v="1509.84"/>
    <n v="528.44000000000005"/>
    <n v="18"/>
    <n v="0.34999735071265836"/>
    <n v="27177.119999999999"/>
  </r>
  <r>
    <x v="148"/>
    <d v="2024-11-29T00:00:00"/>
    <x v="4"/>
    <x v="0"/>
    <x v="8"/>
    <x v="0"/>
    <n v="969.57"/>
    <n v="310.26"/>
    <n v="9"/>
    <n v="0.31999752467588721"/>
    <n v="8726.130000000001"/>
  </r>
  <r>
    <x v="149"/>
    <d v="2024-11-30T00:00:00"/>
    <x v="4"/>
    <x v="2"/>
    <x v="2"/>
    <x v="1"/>
    <n v="5343.39"/>
    <n v="1282.4100000000001"/>
    <n v="13"/>
    <n v="0.23999932627040138"/>
    <n v="69464.070000000007"/>
  </r>
  <r>
    <x v="150"/>
    <d v="2024-12-01T00:00:00"/>
    <x v="5"/>
    <x v="2"/>
    <x v="2"/>
    <x v="1"/>
    <n v="6766.74"/>
    <n v="1624.02"/>
    <n v="18"/>
    <n v="0.24000035467595918"/>
    <n v="121801.31999999999"/>
  </r>
  <r>
    <x v="151"/>
    <d v="2024-12-02T00:00:00"/>
    <x v="5"/>
    <x v="0"/>
    <x v="7"/>
    <x v="1"/>
    <n v="2758.15"/>
    <n v="772.28"/>
    <n v="5"/>
    <n v="0.27999927487627574"/>
    <n v="13790.75"/>
  </r>
  <r>
    <x v="152"/>
    <d v="2024-12-03T00:00:00"/>
    <x v="5"/>
    <x v="3"/>
    <x v="4"/>
    <x v="0"/>
    <n v="165.84"/>
    <n v="63.02"/>
    <n v="3"/>
    <n v="0.38000482392667634"/>
    <n v="497.52"/>
  </r>
  <r>
    <x v="153"/>
    <d v="2024-12-04T00:00:00"/>
    <x v="5"/>
    <x v="0"/>
    <x v="2"/>
    <x v="1"/>
    <n v="3109.14"/>
    <n v="746.19"/>
    <n v="9"/>
    <n v="0.23999884212354544"/>
    <n v="27982.26"/>
  </r>
  <r>
    <x v="154"/>
    <d v="2024-12-05T00:00:00"/>
    <x v="5"/>
    <x v="1"/>
    <x v="4"/>
    <x v="0"/>
    <n v="213.2"/>
    <n v="81.02"/>
    <n v="4"/>
    <n v="0.38001876172607879"/>
    <n v="852.8"/>
  </r>
  <r>
    <x v="155"/>
    <d v="2024-12-06T00:00:00"/>
    <x v="5"/>
    <x v="0"/>
    <x v="2"/>
    <x v="1"/>
    <n v="7773.85"/>
    <n v="1865.72"/>
    <n v="19"/>
    <n v="0.23999948545444019"/>
    <n v="147703.15"/>
  </r>
  <r>
    <x v="156"/>
    <d v="2024-12-07T00:00:00"/>
    <x v="5"/>
    <x v="2"/>
    <x v="2"/>
    <x v="1"/>
    <n v="7714.09"/>
    <n v="1851.38"/>
    <n v="17"/>
    <n v="0.23999979258733048"/>
    <n v="131139.53"/>
  </r>
  <r>
    <x v="157"/>
    <d v="2024-12-08T00:00:00"/>
    <x v="5"/>
    <x v="0"/>
    <x v="8"/>
    <x v="0"/>
    <n v="226.2"/>
    <n v="72.38"/>
    <n v="2"/>
    <n v="0.31998231653404069"/>
    <n v="452.4"/>
  </r>
  <r>
    <x v="158"/>
    <d v="2024-12-09T00:00:00"/>
    <x v="5"/>
    <x v="1"/>
    <x v="6"/>
    <x v="2"/>
    <n v="2965.49"/>
    <n v="533.79"/>
    <n v="11"/>
    <n v="0.18000060698231996"/>
    <n v="32620.39"/>
  </r>
  <r>
    <x v="159"/>
    <d v="2024-12-10T00:00:00"/>
    <x v="5"/>
    <x v="0"/>
    <x v="7"/>
    <x v="1"/>
    <n v="4807.68"/>
    <n v="1346.15"/>
    <n v="8"/>
    <n v="0.27999991679978703"/>
    <n v="38461.440000000002"/>
  </r>
  <r>
    <x v="160"/>
    <d v="2024-12-11T00:00:00"/>
    <x v="5"/>
    <x v="3"/>
    <x v="0"/>
    <x v="0"/>
    <n v="720.09"/>
    <n v="252.03"/>
    <n v="9"/>
    <n v="0.34999791692705079"/>
    <n v="6480.81"/>
  </r>
  <r>
    <x v="161"/>
    <d v="2024-12-12T00:00:00"/>
    <x v="5"/>
    <x v="2"/>
    <x v="9"/>
    <x v="1"/>
    <n v="10599.4"/>
    <n v="2331.87"/>
    <n v="14"/>
    <n v="0.22000018868992585"/>
    <n v="148391.6"/>
  </r>
  <r>
    <x v="162"/>
    <d v="2024-12-13T00:00:00"/>
    <x v="5"/>
    <x v="0"/>
    <x v="7"/>
    <x v="1"/>
    <n v="4777.0200000000004"/>
    <n v="1337.57"/>
    <n v="9"/>
    <n v="0.28000092107631952"/>
    <n v="42993.180000000008"/>
  </r>
  <r>
    <x v="163"/>
    <d v="2024-12-14T00:00:00"/>
    <x v="5"/>
    <x v="3"/>
    <x v="0"/>
    <x v="0"/>
    <n v="253.5"/>
    <n v="88.72"/>
    <n v="3"/>
    <n v="0.3499802761341223"/>
    <n v="760.5"/>
  </r>
  <r>
    <x v="164"/>
    <d v="2024-12-15T00:00:00"/>
    <x v="5"/>
    <x v="2"/>
    <x v="1"/>
    <x v="1"/>
    <n v="3903.12"/>
    <n v="975.78"/>
    <n v="9"/>
    <n v="0.25"/>
    <n v="35128.080000000002"/>
  </r>
  <r>
    <x v="165"/>
    <d v="2024-12-16T00:00:00"/>
    <x v="5"/>
    <x v="3"/>
    <x v="0"/>
    <x v="0"/>
    <n v="993.3"/>
    <n v="347.65"/>
    <n v="11"/>
    <n v="0.34999496627403603"/>
    <n v="10926.3"/>
  </r>
  <r>
    <x v="166"/>
    <d v="2024-12-17T00:00:00"/>
    <x v="5"/>
    <x v="2"/>
    <x v="5"/>
    <x v="1"/>
    <n v="3296.81"/>
    <n v="659.36"/>
    <n v="11"/>
    <n v="0.19999939335296849"/>
    <n v="36264.909999999996"/>
  </r>
  <r>
    <x v="167"/>
    <d v="2024-12-18T00:00:00"/>
    <x v="5"/>
    <x v="1"/>
    <x v="5"/>
    <x v="1"/>
    <n v="1975.44"/>
    <n v="395.09"/>
    <n v="6"/>
    <n v="0.20000101243267321"/>
    <n v="11852.64"/>
  </r>
  <r>
    <x v="168"/>
    <d v="2024-12-19T00:00:00"/>
    <x v="5"/>
    <x v="0"/>
    <x v="8"/>
    <x v="0"/>
    <n v="369.96"/>
    <n v="118.39"/>
    <n v="3"/>
    <n v="0.32000756838577143"/>
    <n v="1109.8799999999999"/>
  </r>
  <r>
    <x v="169"/>
    <d v="2024-12-20T00:00:00"/>
    <x v="5"/>
    <x v="0"/>
    <x v="7"/>
    <x v="1"/>
    <n v="9481.58"/>
    <n v="2654.84"/>
    <n v="17"/>
    <n v="0.27999974687763013"/>
    <n v="161186.85999999999"/>
  </r>
  <r>
    <x v="170"/>
    <d v="2024-12-21T00:00:00"/>
    <x v="5"/>
    <x v="2"/>
    <x v="6"/>
    <x v="2"/>
    <n v="1249.4000000000001"/>
    <n v="224.89"/>
    <n v="5"/>
    <n v="0.17999839923163116"/>
    <n v="6247"/>
  </r>
  <r>
    <x v="171"/>
    <d v="2024-12-22T00:00:00"/>
    <x v="5"/>
    <x v="3"/>
    <x v="0"/>
    <x v="0"/>
    <n v="816.5"/>
    <n v="285.77"/>
    <n v="10"/>
    <n v="0.34999387630128598"/>
    <n v="8165"/>
  </r>
  <r>
    <x v="172"/>
    <d v="2024-12-23T00:00:00"/>
    <x v="5"/>
    <x v="3"/>
    <x v="5"/>
    <x v="1"/>
    <n v="7734.4"/>
    <n v="1546.88"/>
    <n v="20"/>
    <n v="0.2"/>
    <n v="154688"/>
  </r>
  <r>
    <x v="173"/>
    <d v="2024-12-24T00:00:00"/>
    <x v="5"/>
    <x v="2"/>
    <x v="0"/>
    <x v="0"/>
    <n v="566.72"/>
    <n v="198.35"/>
    <n v="8"/>
    <n v="0.34999647092038394"/>
    <n v="4533.76"/>
  </r>
  <r>
    <x v="174"/>
    <d v="2024-12-25T00:00:00"/>
    <x v="5"/>
    <x v="1"/>
    <x v="8"/>
    <x v="0"/>
    <n v="1103.2"/>
    <n v="353.02"/>
    <n v="8"/>
    <n v="0.31999637418419141"/>
    <n v="8825.6"/>
  </r>
  <r>
    <x v="175"/>
    <d v="2024-12-26T00:00:00"/>
    <x v="5"/>
    <x v="0"/>
    <x v="5"/>
    <x v="1"/>
    <n v="2476.67"/>
    <n v="495.33"/>
    <n v="7"/>
    <n v="0.19999838492814948"/>
    <n v="17336.690000000002"/>
  </r>
  <r>
    <x v="176"/>
    <d v="2024-12-27T00:00:00"/>
    <x v="5"/>
    <x v="2"/>
    <x v="6"/>
    <x v="2"/>
    <n v="522.82000000000005"/>
    <n v="94.11"/>
    <n v="2"/>
    <n v="0.18000459049003478"/>
    <n v="1045.6400000000001"/>
  </r>
  <r>
    <x v="177"/>
    <d v="2024-12-28T00:00:00"/>
    <x v="5"/>
    <x v="3"/>
    <x v="8"/>
    <x v="0"/>
    <n v="1258.5"/>
    <n v="402.72"/>
    <n v="10"/>
    <n v="0.32"/>
    <n v="12585"/>
  </r>
  <r>
    <x v="178"/>
    <d v="2024-12-29T00:00:00"/>
    <x v="5"/>
    <x v="1"/>
    <x v="8"/>
    <x v="0"/>
    <n v="1527.6"/>
    <n v="488.83"/>
    <n v="12"/>
    <n v="0.31999869075674259"/>
    <n v="18331.199999999997"/>
  </r>
  <r>
    <x v="179"/>
    <d v="2024-12-30T00:00:00"/>
    <x v="5"/>
    <x v="1"/>
    <x v="6"/>
    <x v="2"/>
    <n v="2203.92"/>
    <n v="396.71"/>
    <n v="8"/>
    <n v="0.18000199644270207"/>
    <n v="17631.36"/>
  </r>
  <r>
    <x v="180"/>
    <d v="2024-12-31T00:00:00"/>
    <x v="5"/>
    <x v="3"/>
    <x v="0"/>
    <x v="0"/>
    <n v="688.08"/>
    <n v="240.83"/>
    <n v="8"/>
    <n v="0.35000290663876293"/>
    <n v="5504.64"/>
  </r>
  <r>
    <x v="181"/>
    <d v="2025-01-01T00:00:00"/>
    <x v="6"/>
    <x v="0"/>
    <x v="7"/>
    <x v="1"/>
    <n v="6735.6"/>
    <n v="1885.97"/>
    <n v="12"/>
    <n v="0.28000029692974643"/>
    <n v="80827.200000000012"/>
  </r>
  <r>
    <x v="182"/>
    <d v="2025-01-02T00:00:00"/>
    <x v="6"/>
    <x v="0"/>
    <x v="5"/>
    <x v="1"/>
    <n v="304.95"/>
    <n v="60.99"/>
    <n v="1"/>
    <n v="0.2"/>
    <n v="304.95"/>
  </r>
  <r>
    <x v="183"/>
    <d v="2025-01-03T00:00:00"/>
    <x v="6"/>
    <x v="3"/>
    <x v="2"/>
    <x v="1"/>
    <n v="4864.58"/>
    <n v="1167.5"/>
    <n v="14"/>
    <n v="0.24000016445407416"/>
    <n v="68104.12"/>
  </r>
  <r>
    <x v="184"/>
    <d v="2025-01-04T00:00:00"/>
    <x v="6"/>
    <x v="1"/>
    <x v="2"/>
    <x v="1"/>
    <n v="1314.63"/>
    <n v="315.51"/>
    <n v="3"/>
    <n v="0.23999908719563676"/>
    <n v="3943.8900000000003"/>
  </r>
  <r>
    <x v="185"/>
    <d v="2025-01-05T00:00:00"/>
    <x v="6"/>
    <x v="1"/>
    <x v="1"/>
    <x v="1"/>
    <n v="5934.11"/>
    <n v="1483.53"/>
    <n v="13"/>
    <n v="0.2500004212931678"/>
    <n v="77143.429999999993"/>
  </r>
  <r>
    <x v="186"/>
    <d v="2025-01-06T00:00:00"/>
    <x v="6"/>
    <x v="3"/>
    <x v="2"/>
    <x v="1"/>
    <n v="8598.7999999999993"/>
    <n v="2063.71"/>
    <n v="20"/>
    <n v="0.23999976740940598"/>
    <n v="171976"/>
  </r>
  <r>
    <x v="187"/>
    <d v="2025-01-07T00:00:00"/>
    <x v="6"/>
    <x v="1"/>
    <x v="1"/>
    <x v="1"/>
    <n v="794.26"/>
    <n v="198.56"/>
    <n v="2"/>
    <n v="0.24999370483217084"/>
    <n v="1588.52"/>
  </r>
  <r>
    <x v="188"/>
    <d v="2025-01-08T00:00:00"/>
    <x v="6"/>
    <x v="3"/>
    <x v="7"/>
    <x v="1"/>
    <n v="5324.49"/>
    <n v="1490.86"/>
    <n v="9"/>
    <n v="0.28000052587196145"/>
    <n v="47920.409999999996"/>
  </r>
  <r>
    <x v="189"/>
    <d v="2025-01-09T00:00:00"/>
    <x v="6"/>
    <x v="1"/>
    <x v="3"/>
    <x v="0"/>
    <n v="320.68"/>
    <n v="96.2"/>
    <n v="2"/>
    <n v="0.29998752650617438"/>
    <n v="641.36"/>
  </r>
  <r>
    <x v="190"/>
    <d v="2025-01-10T00:00:00"/>
    <x v="6"/>
    <x v="0"/>
    <x v="1"/>
    <x v="1"/>
    <n v="5401.9"/>
    <n v="1350.47"/>
    <n v="14"/>
    <n v="0.24999907439974825"/>
    <n v="75626.599999999991"/>
  </r>
  <r>
    <x v="191"/>
    <d v="2025-01-11T00:00:00"/>
    <x v="6"/>
    <x v="3"/>
    <x v="2"/>
    <x v="1"/>
    <n v="4851"/>
    <n v="1164.24"/>
    <n v="14"/>
    <n v="0.24"/>
    <n v="67914"/>
  </r>
  <r>
    <x v="192"/>
    <d v="2025-01-12T00:00:00"/>
    <x v="6"/>
    <x v="1"/>
    <x v="8"/>
    <x v="0"/>
    <n v="1635.2"/>
    <n v="523.26"/>
    <n v="14"/>
    <n v="0.31999755381604694"/>
    <n v="22892.799999999999"/>
  </r>
  <r>
    <x v="193"/>
    <d v="2025-01-13T00:00:00"/>
    <x v="6"/>
    <x v="0"/>
    <x v="2"/>
    <x v="1"/>
    <n v="5861.28"/>
    <n v="1406.71"/>
    <n v="16"/>
    <n v="0.24000047771135316"/>
    <n v="93780.479999999996"/>
  </r>
  <r>
    <x v="194"/>
    <d v="2025-01-14T00:00:00"/>
    <x v="6"/>
    <x v="2"/>
    <x v="6"/>
    <x v="2"/>
    <n v="285.49"/>
    <n v="51.39"/>
    <n v="1"/>
    <n v="0.18000630494938527"/>
    <n v="285.49"/>
  </r>
  <r>
    <x v="195"/>
    <d v="2025-01-15T00:00:00"/>
    <x v="6"/>
    <x v="1"/>
    <x v="6"/>
    <x v="2"/>
    <n v="459.72"/>
    <n v="82.75"/>
    <n v="2"/>
    <n v="0.18000087009484034"/>
    <n v="919.44"/>
  </r>
  <r>
    <x v="196"/>
    <d v="2025-01-16T00:00:00"/>
    <x v="6"/>
    <x v="1"/>
    <x v="2"/>
    <x v="1"/>
    <n v="1779.6"/>
    <n v="427.1"/>
    <n v="4"/>
    <n v="0.23999775230388853"/>
    <n v="7118.4"/>
  </r>
  <r>
    <x v="197"/>
    <d v="2025-01-17T00:00:00"/>
    <x v="6"/>
    <x v="2"/>
    <x v="4"/>
    <x v="0"/>
    <n v="490.2"/>
    <n v="186.28"/>
    <n v="10"/>
    <n v="0.38000815993472054"/>
    <n v="4902"/>
  </r>
  <r>
    <x v="198"/>
    <d v="2025-01-18T00:00:00"/>
    <x v="6"/>
    <x v="2"/>
    <x v="8"/>
    <x v="0"/>
    <n v="2198.11"/>
    <n v="703.4"/>
    <n v="19"/>
    <n v="0.3200021836941736"/>
    <n v="41764.090000000004"/>
  </r>
  <r>
    <x v="199"/>
    <d v="2025-01-19T00:00:00"/>
    <x v="6"/>
    <x v="3"/>
    <x v="8"/>
    <x v="0"/>
    <n v="1887.85"/>
    <n v="604.11"/>
    <n v="17"/>
    <n v="0.31999894059379719"/>
    <n v="32093.44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33ADF-6355-4B26-8CA8-9575C41A89C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20" firstHeaderRow="0" firstDataRow="1" firstDataCol="1"/>
  <pivotFields count="11">
    <pivotField showAll="0"/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>
      <items count="11">
        <item x="2"/>
        <item x="8"/>
        <item x="0"/>
        <item x="9"/>
        <item x="5"/>
        <item x="4"/>
        <item x="6"/>
        <item x="7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4" showAll="0"/>
    <pivotField dataField="1" numFmtId="4" showAll="0"/>
    <pivotField showAll="0"/>
    <pivotField numFmtId="10" showAll="0"/>
    <pivotField showAll="0"/>
    <pivotField showAll="0">
      <items count="2">
        <item x="0"/>
        <item t="default"/>
      </items>
    </pivotField>
  </pivotFields>
  <rowFields count="2">
    <field x="2"/>
    <field x="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5" baseField="0" baseItem="0" numFmtId="4"/>
    <dataField name="Sum of Profit" fld="6" baseField="0" baseItem="0" numFmtId="4"/>
  </dataFields>
  <formats count="30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2" type="button" dataOnly="0" labelOnly="1" outline="0" axis="axisRow" fieldPosition="0"/>
    </format>
    <format dxfId="56">
      <pivotArea dataOnly="0" labelOnly="1" fieldPosition="0">
        <references count="1">
          <reference field="2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2" type="button" dataOnly="0" labelOnly="1" outline="0" axis="axisRow" fieldPosition="0"/>
    </format>
    <format dxfId="50">
      <pivotArea dataOnly="0" labelOnly="1" fieldPosition="0">
        <references count="1">
          <reference field="2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2" type="button" dataOnly="0" labelOnly="1" outline="0" axis="axisRow" fieldPosition="0"/>
    </format>
    <format dxfId="44">
      <pivotArea dataOnly="0" labelOnly="1" fieldPosition="0">
        <references count="1">
          <reference field="2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2" type="button" dataOnly="0" labelOnly="1" outline="0" axis="axisRow" fieldPosition="0"/>
    </format>
    <format dxfId="38">
      <pivotArea dataOnly="0" labelOnly="1" fieldPosition="0">
        <references count="1">
          <reference field="2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2" type="button" dataOnly="0" labelOnly="1" outline="0" axis="axisRow" fieldPosition="0"/>
    </format>
    <format dxfId="32">
      <pivotArea dataOnly="0" labelOnly="1" fieldPosition="0">
        <references count="1">
          <reference field="2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0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1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2"/>
          </reference>
        </references>
      </pivotArea>
    </chartFormat>
    <chartFormat chart="0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6F67C-BBCD-4EF1-9A34-F3D147E2E14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2:C13" firstHeaderRow="0" firstDataRow="1" firstDataCol="1"/>
  <pivotFields count="11">
    <pivotField showAll="0"/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axis="axisRow" showAll="0">
      <items count="11">
        <item x="2"/>
        <item x="8"/>
        <item x="0"/>
        <item x="9"/>
        <item x="5"/>
        <item x="4"/>
        <item x="6"/>
        <item x="7"/>
        <item x="3"/>
        <item x="1"/>
        <item t="default"/>
      </items>
    </pivotField>
    <pivotField showAll="0"/>
    <pivotField dataField="1" numFmtId="4" showAll="0"/>
    <pivotField dataField="1" numFmtId="4" showAll="0"/>
    <pivotField showAll="0"/>
    <pivotField numFmtId="10" showAll="0"/>
    <pivotField showAll="0"/>
    <pivotField showAll="0">
      <items count="2">
        <item x="0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5" baseField="0" baseItem="0" numFmtId="4"/>
    <dataField name="Sum of Profit" fld="6" baseField="0" baseItem="0" numFmtId="4"/>
  </dataFields>
  <formats count="30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3" type="button" dataOnly="0" labelOnly="1" outline="0" axis="axisRow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3" type="button" dataOnly="0" labelOnly="1" outline="0" axis="axisRow" fieldPosition="0"/>
    </format>
    <format dxfId="20">
      <pivotArea dataOnly="0" labelOnly="1" fieldPosition="0">
        <references count="1">
          <reference field="3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3" type="button" dataOnly="0" labelOnly="1" outline="0" axis="axisRow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E2205-5886-4451-A2F3-C34FF291B338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5">
  <location ref="A2:C10" firstHeaderRow="0" firstDataRow="1" firstDataCol="1"/>
  <pivotFields count="11">
    <pivotField showAll="0">
      <items count="201">
        <item x="11"/>
        <item x="82"/>
        <item x="159"/>
        <item x="70"/>
        <item x="120"/>
        <item x="138"/>
        <item x="54"/>
        <item x="189"/>
        <item x="66"/>
        <item x="92"/>
        <item x="124"/>
        <item x="188"/>
        <item x="134"/>
        <item x="73"/>
        <item x="132"/>
        <item x="79"/>
        <item x="116"/>
        <item x="61"/>
        <item x="46"/>
        <item x="57"/>
        <item x="174"/>
        <item x="100"/>
        <item x="109"/>
        <item x="199"/>
        <item x="125"/>
        <item x="197"/>
        <item x="44"/>
        <item x="144"/>
        <item x="90"/>
        <item x="72"/>
        <item x="0"/>
        <item x="56"/>
        <item x="99"/>
        <item x="81"/>
        <item x="101"/>
        <item x="126"/>
        <item x="166"/>
        <item x="182"/>
        <item x="64"/>
        <item x="123"/>
        <item x="155"/>
        <item x="112"/>
        <item x="192"/>
        <item x="108"/>
        <item x="175"/>
        <item x="41"/>
        <item x="176"/>
        <item x="51"/>
        <item x="128"/>
        <item x="37"/>
        <item x="147"/>
        <item x="25"/>
        <item x="63"/>
        <item x="110"/>
        <item x="45"/>
        <item x="30"/>
        <item x="129"/>
        <item x="2"/>
        <item x="131"/>
        <item x="165"/>
        <item x="143"/>
        <item x="169"/>
        <item x="181"/>
        <item x="36"/>
        <item x="150"/>
        <item x="162"/>
        <item x="22"/>
        <item x="103"/>
        <item x="80"/>
        <item x="105"/>
        <item x="136"/>
        <item x="86"/>
        <item x="27"/>
        <item x="157"/>
        <item x="119"/>
        <item x="186"/>
        <item x="190"/>
        <item x="148"/>
        <item x="49"/>
        <item x="31"/>
        <item x="74"/>
        <item x="38"/>
        <item x="53"/>
        <item x="187"/>
        <item x="77"/>
        <item x="21"/>
        <item x="89"/>
        <item x="28"/>
        <item x="154"/>
        <item x="69"/>
        <item x="130"/>
        <item x="185"/>
        <item x="88"/>
        <item x="117"/>
        <item x="8"/>
        <item x="184"/>
        <item x="65"/>
        <item x="172"/>
        <item x="146"/>
        <item x="42"/>
        <item x="122"/>
        <item x="137"/>
        <item x="17"/>
        <item x="26"/>
        <item x="52"/>
        <item x="179"/>
        <item x="14"/>
        <item x="85"/>
        <item x="151"/>
        <item x="43"/>
        <item x="183"/>
        <item x="198"/>
        <item x="4"/>
        <item x="193"/>
        <item x="96"/>
        <item x="68"/>
        <item x="149"/>
        <item x="161"/>
        <item x="164"/>
        <item x="158"/>
        <item x="67"/>
        <item x="104"/>
        <item x="76"/>
        <item x="145"/>
        <item x="39"/>
        <item x="106"/>
        <item x="6"/>
        <item x="168"/>
        <item x="50"/>
        <item x="10"/>
        <item x="102"/>
        <item x="75"/>
        <item x="121"/>
        <item x="83"/>
        <item x="78"/>
        <item x="180"/>
        <item x="13"/>
        <item x="20"/>
        <item x="60"/>
        <item x="156"/>
        <item x="35"/>
        <item x="9"/>
        <item x="33"/>
        <item x="139"/>
        <item x="178"/>
        <item x="62"/>
        <item x="71"/>
        <item x="29"/>
        <item x="5"/>
        <item x="167"/>
        <item x="153"/>
        <item x="24"/>
        <item x="114"/>
        <item x="127"/>
        <item x="32"/>
        <item x="47"/>
        <item x="173"/>
        <item x="3"/>
        <item x="171"/>
        <item x="91"/>
        <item x="18"/>
        <item x="40"/>
        <item x="195"/>
        <item x="163"/>
        <item x="135"/>
        <item x="1"/>
        <item x="97"/>
        <item x="160"/>
        <item x="107"/>
        <item x="84"/>
        <item x="93"/>
        <item x="15"/>
        <item x="12"/>
        <item x="133"/>
        <item x="177"/>
        <item x="98"/>
        <item x="19"/>
        <item x="191"/>
        <item x="87"/>
        <item x="23"/>
        <item x="194"/>
        <item x="95"/>
        <item x="118"/>
        <item x="170"/>
        <item x="34"/>
        <item x="16"/>
        <item x="59"/>
        <item x="58"/>
        <item x="113"/>
        <item x="7"/>
        <item x="111"/>
        <item x="141"/>
        <item x="140"/>
        <item x="94"/>
        <item x="196"/>
        <item x="115"/>
        <item x="55"/>
        <item x="152"/>
        <item x="142"/>
        <item x="48"/>
        <item t="default"/>
      </items>
    </pivotField>
    <pivotField numFmtId="165" showAll="0"/>
    <pivotField axis="axisRow" showAll="0" sortType="ascending">
      <items count="8">
        <item x="1"/>
        <item x="5"/>
        <item x="6"/>
        <item x="0"/>
        <item x="4"/>
        <item x="3"/>
        <item x="2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11">
        <item x="2"/>
        <item x="8"/>
        <item x="0"/>
        <item x="9"/>
        <item x="5"/>
        <item x="4"/>
        <item x="6"/>
        <item x="7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numFmtId="4" showAll="0"/>
    <pivotField dataField="1" numFmtId="4" showAll="0"/>
    <pivotField showAll="0"/>
    <pivotField numFmtId="10"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10" baseField="0" baseItem="0"/>
    <dataField name="Sum of Profit" fld="7" baseField="0" baseItem="0" numFmtId="4"/>
  </dataFields>
  <formats count="42"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2" type="button" dataOnly="0" labelOnly="1" outline="0" axis="axisRow" fieldPosition="0"/>
    </format>
    <format dxfId="112">
      <pivotArea dataOnly="0" labelOnly="1" fieldPosition="0">
        <references count="1">
          <reference field="2" count="0"/>
        </references>
      </pivotArea>
    </format>
    <format dxfId="111">
      <pivotArea dataOnly="0" labelOnly="1" grandRow="1" outline="0" fieldPosition="0"/>
    </format>
    <format dxfId="110">
      <pivotArea dataOnly="0" labelOnly="1" outline="0" axis="axisValues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2" type="button" dataOnly="0" labelOnly="1" outline="0" axis="axisRow" fieldPosition="0"/>
    </format>
    <format dxfId="106">
      <pivotArea dataOnly="0" labelOnly="1" fieldPosition="0">
        <references count="1">
          <reference field="2" count="0"/>
        </references>
      </pivotArea>
    </format>
    <format dxfId="105">
      <pivotArea dataOnly="0" labelOnly="1" grandRow="1" outline="0" fieldPosition="0"/>
    </format>
    <format dxfId="104">
      <pivotArea dataOnly="0" labelOnly="1" outline="0" axis="axisValues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2" type="button" dataOnly="0" labelOnly="1" outline="0" axis="axisRow" fieldPosition="0"/>
    </format>
    <format dxfId="100">
      <pivotArea dataOnly="0" labelOnly="1" fieldPosition="0">
        <references count="1">
          <reference field="2" count="0"/>
        </references>
      </pivotArea>
    </format>
    <format dxfId="99">
      <pivotArea dataOnly="0" labelOnly="1" grandRow="1" outline="0" fieldPosition="0"/>
    </format>
    <format dxfId="98">
      <pivotArea dataOnly="0" labelOnly="1" outline="0" axis="axisValues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2" type="button" dataOnly="0" labelOnly="1" outline="0" axis="axisRow" fieldPosition="0"/>
    </format>
    <format dxfId="94">
      <pivotArea dataOnly="0" labelOnly="1" fieldPosition="0">
        <references count="1">
          <reference field="2" count="0"/>
        </references>
      </pivotArea>
    </format>
    <format dxfId="93">
      <pivotArea dataOnly="0" labelOnly="1" grandRow="1" outline="0" fieldPosition="0"/>
    </format>
    <format dxfId="92">
      <pivotArea dataOnly="0" labelOnly="1" outline="0" axis="axisValues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2" type="button" dataOnly="0" labelOnly="1" outline="0" axis="axisRow" fieldPosition="0"/>
    </format>
    <format dxfId="88">
      <pivotArea dataOnly="0" labelOnly="1" fieldPosition="0">
        <references count="1">
          <reference field="2" count="0"/>
        </references>
      </pivotArea>
    </format>
    <format dxfId="87">
      <pivotArea dataOnly="0" labelOnly="1" grandRow="1" outline="0" fieldPosition="0"/>
    </format>
    <format dxfId="86">
      <pivotArea dataOnly="0" labelOnly="1" outline="0" axis="axisValues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2" type="button" dataOnly="0" labelOnly="1" outline="0" axis="axisRow" fieldPosition="0"/>
    </format>
    <format dxfId="82">
      <pivotArea dataOnly="0" labelOnly="1" fieldPosition="0">
        <references count="1">
          <reference field="2" count="0"/>
        </references>
      </pivotArea>
    </format>
    <format dxfId="81">
      <pivotArea dataOnly="0" labelOnly="1" grandRow="1" outline="0" fieldPosition="0"/>
    </format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2" type="button" dataOnly="0" labelOnly="1" outline="0" axis="axisRow" fieldPosition="0"/>
    </format>
    <format dxfId="76">
      <pivotArea dataOnly="0" labelOnly="1" fieldPosition="0">
        <references count="1">
          <reference field="2" count="0"/>
        </references>
      </pivotArea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F7B4AE-FAE6-4820-A27D-46ADCB68F70B}" name="Table1" displayName="Table1" ref="A1:K201" totalsRowShown="0" headerRowDxfId="73" dataDxfId="72" tableBorderDxfId="71">
  <autoFilter ref="A1:K201" xr:uid="{89F7B4AE-FAE6-4820-A27D-46ADCB68F70B}">
    <filterColumn colId="4">
      <filters>
        <filter val="Camera"/>
      </filters>
    </filterColumn>
  </autoFilter>
  <tableColumns count="11">
    <tableColumn id="1" xr3:uid="{C570DD80-7F01-4539-8FA0-C8D1B64336B7}" name="Order_ID" dataDxfId="70"/>
    <tableColumn id="2" xr3:uid="{2C865554-B89B-47AB-B050-45D0180245EF}" name="Order_Date" dataDxfId="69"/>
    <tableColumn id="12" xr3:uid="{EEDEB807-10A8-4E7F-B87B-60AB490A2D94}" name="Month" dataDxfId="68">
      <calculatedColumnFormula>TEXT(Table1[[#This Row],[Order_Date]],"MMM-YYYY")</calculatedColumnFormula>
    </tableColumn>
    <tableColumn id="3" xr3:uid="{A0E7B6F7-0EA7-49A5-9DBE-5B32A6A3C4FA}" name="Region" dataDxfId="67"/>
    <tableColumn id="4" xr3:uid="{9FE89236-2985-4AC1-9C6F-8C1DCD07805F}" name="Product" dataDxfId="66"/>
    <tableColumn id="5" xr3:uid="{9A722BC7-169A-48D5-B09A-8C7F50CB054E}" name="Category" dataDxfId="65"/>
    <tableColumn id="6" xr3:uid="{A3ECEA73-6152-4040-91C3-146F414613A9}" name="Sales_Amount" dataDxfId="64"/>
    <tableColumn id="7" xr3:uid="{D76A8BF3-42CF-4EC9-BA54-D38284F06B81}" name="Profit" dataDxfId="63"/>
    <tableColumn id="8" xr3:uid="{324A1686-E126-4087-BE2F-A7BC3B714023}" name="Quantity" dataDxfId="62"/>
    <tableColumn id="9" xr3:uid="{EBFB5907-DE82-43DB-8FE8-CCC17532D41C}" name="Profit_Margin_%" dataDxfId="61">
      <calculatedColumnFormula>H2/G2</calculatedColumnFormula>
    </tableColumn>
    <tableColumn id="10" xr3:uid="{310CAFF6-2B85-49E0-B44D-9792B6ED45C4}" name="Total Sales" dataDxfId="60">
      <calculatedColumnFormula>I2*G2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20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1" width="17.77734375" customWidth="1"/>
  </cols>
  <sheetData>
    <row r="1" spans="1:8" ht="27" customHeigh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</row>
    <row r="2" spans="1:8" s="1" customFormat="1" ht="36" customHeight="1" x14ac:dyDescent="0.3">
      <c r="A2" s="17" t="s">
        <v>8</v>
      </c>
      <c r="B2" s="18" t="s">
        <v>9</v>
      </c>
      <c r="C2" s="18" t="s">
        <v>10</v>
      </c>
      <c r="D2" s="18" t="s">
        <v>11</v>
      </c>
      <c r="E2" s="18" t="s">
        <v>12</v>
      </c>
      <c r="F2" s="18">
        <v>147.56</v>
      </c>
      <c r="G2" s="18">
        <v>51.65</v>
      </c>
      <c r="H2" s="18">
        <v>2</v>
      </c>
    </row>
    <row r="3" spans="1:8" s="1" customFormat="1" ht="36" customHeight="1" x14ac:dyDescent="0.3">
      <c r="A3" s="17" t="s">
        <v>13</v>
      </c>
      <c r="B3" s="18" t="s">
        <v>14</v>
      </c>
      <c r="C3" s="18" t="s">
        <v>15</v>
      </c>
      <c r="D3" s="18" t="s">
        <v>16</v>
      </c>
      <c r="E3" s="18" t="s">
        <v>17</v>
      </c>
      <c r="F3" s="18">
        <v>1960.7</v>
      </c>
      <c r="G3" s="18">
        <v>490.18</v>
      </c>
      <c r="H3" s="18">
        <v>5</v>
      </c>
    </row>
    <row r="4" spans="1:8" s="1" customFormat="1" ht="36" customHeight="1" x14ac:dyDescent="0.3">
      <c r="A4" s="17" t="s">
        <v>18</v>
      </c>
      <c r="B4" s="18" t="s">
        <v>19</v>
      </c>
      <c r="C4" s="18" t="s">
        <v>15</v>
      </c>
      <c r="D4" s="18" t="s">
        <v>20</v>
      </c>
      <c r="E4" s="18" t="s">
        <v>17</v>
      </c>
      <c r="F4" s="18">
        <v>3280.59</v>
      </c>
      <c r="G4" s="18">
        <v>787.34</v>
      </c>
      <c r="H4" s="18">
        <v>9</v>
      </c>
    </row>
    <row r="5" spans="1:8" s="1" customFormat="1" ht="36" customHeight="1" x14ac:dyDescent="0.3">
      <c r="A5" s="17" t="s">
        <v>21</v>
      </c>
      <c r="B5" s="18" t="s">
        <v>22</v>
      </c>
      <c r="C5" s="18" t="s">
        <v>10</v>
      </c>
      <c r="D5" s="18" t="s">
        <v>23</v>
      </c>
      <c r="E5" s="18" t="s">
        <v>12</v>
      </c>
      <c r="F5" s="18">
        <v>2458.54</v>
      </c>
      <c r="G5" s="18">
        <v>737.56</v>
      </c>
      <c r="H5" s="18">
        <v>17</v>
      </c>
    </row>
    <row r="6" spans="1:8" s="1" customFormat="1" ht="36" customHeight="1" x14ac:dyDescent="0.3">
      <c r="A6" s="17" t="s">
        <v>24</v>
      </c>
      <c r="B6" s="18" t="s">
        <v>25</v>
      </c>
      <c r="C6" s="18" t="s">
        <v>15</v>
      </c>
      <c r="D6" s="18" t="s">
        <v>26</v>
      </c>
      <c r="E6" s="18" t="s">
        <v>12</v>
      </c>
      <c r="F6" s="18">
        <v>718.9</v>
      </c>
      <c r="G6" s="18">
        <v>273.18</v>
      </c>
      <c r="H6" s="18">
        <v>13</v>
      </c>
    </row>
    <row r="7" spans="1:8" s="1" customFormat="1" ht="36" customHeight="1" x14ac:dyDescent="0.3">
      <c r="A7" s="17" t="s">
        <v>27</v>
      </c>
      <c r="B7" s="18" t="s">
        <v>28</v>
      </c>
      <c r="C7" s="18" t="s">
        <v>15</v>
      </c>
      <c r="D7" s="18" t="s">
        <v>23</v>
      </c>
      <c r="E7" s="18" t="s">
        <v>12</v>
      </c>
      <c r="F7" s="18">
        <v>659.88</v>
      </c>
      <c r="G7" s="18">
        <v>197.96</v>
      </c>
      <c r="H7" s="18">
        <v>4</v>
      </c>
    </row>
    <row r="8" spans="1:8" s="1" customFormat="1" ht="36" customHeight="1" x14ac:dyDescent="0.3">
      <c r="A8" s="17" t="s">
        <v>29</v>
      </c>
      <c r="B8" s="18" t="s">
        <v>30</v>
      </c>
      <c r="C8" s="18" t="s">
        <v>31</v>
      </c>
      <c r="D8" s="18" t="s">
        <v>23</v>
      </c>
      <c r="E8" s="18" t="s">
        <v>12</v>
      </c>
      <c r="F8" s="18">
        <v>1534.1</v>
      </c>
      <c r="G8" s="18">
        <v>460.23</v>
      </c>
      <c r="H8" s="18">
        <v>10</v>
      </c>
    </row>
    <row r="9" spans="1:8" s="1" customFormat="1" ht="36" customHeight="1" x14ac:dyDescent="0.3">
      <c r="A9" s="17" t="s">
        <v>32</v>
      </c>
      <c r="B9" s="18" t="s">
        <v>33</v>
      </c>
      <c r="C9" s="18" t="s">
        <v>15</v>
      </c>
      <c r="D9" s="18" t="s">
        <v>26</v>
      </c>
      <c r="E9" s="18" t="s">
        <v>12</v>
      </c>
      <c r="F9" s="18">
        <v>970.92</v>
      </c>
      <c r="G9" s="18">
        <v>368.95</v>
      </c>
      <c r="H9" s="18">
        <v>18</v>
      </c>
    </row>
    <row r="10" spans="1:8" s="1" customFormat="1" ht="36" customHeight="1" x14ac:dyDescent="0.3">
      <c r="A10" s="17" t="s">
        <v>34</v>
      </c>
      <c r="B10" s="18" t="s">
        <v>35</v>
      </c>
      <c r="C10" s="18" t="s">
        <v>36</v>
      </c>
      <c r="D10" s="18" t="s">
        <v>37</v>
      </c>
      <c r="E10" s="18" t="s">
        <v>17</v>
      </c>
      <c r="F10" s="18">
        <v>2200.08</v>
      </c>
      <c r="G10" s="18">
        <v>440.02</v>
      </c>
      <c r="H10" s="18">
        <v>6</v>
      </c>
    </row>
    <row r="11" spans="1:8" s="1" customFormat="1" ht="36" customHeight="1" x14ac:dyDescent="0.3">
      <c r="A11" s="17" t="s">
        <v>38</v>
      </c>
      <c r="B11" s="18" t="s">
        <v>39</v>
      </c>
      <c r="C11" s="18" t="s">
        <v>36</v>
      </c>
      <c r="D11" s="18" t="s">
        <v>40</v>
      </c>
      <c r="E11" s="18" t="s">
        <v>41</v>
      </c>
      <c r="F11" s="18">
        <v>4079.55</v>
      </c>
      <c r="G11" s="18">
        <v>734.32</v>
      </c>
      <c r="H11" s="18">
        <v>15</v>
      </c>
    </row>
    <row r="12" spans="1:8" s="1" customFormat="1" ht="36" customHeight="1" x14ac:dyDescent="0.3">
      <c r="A12" s="17" t="s">
        <v>42</v>
      </c>
      <c r="B12" s="18" t="s">
        <v>43</v>
      </c>
      <c r="C12" s="18" t="s">
        <v>31</v>
      </c>
      <c r="D12" s="18" t="s">
        <v>44</v>
      </c>
      <c r="E12" s="18" t="s">
        <v>17</v>
      </c>
      <c r="F12" s="18">
        <v>7270.68</v>
      </c>
      <c r="G12" s="18">
        <v>2035.79</v>
      </c>
      <c r="H12" s="18">
        <v>12</v>
      </c>
    </row>
    <row r="13" spans="1:8" s="1" customFormat="1" ht="36" customHeight="1" x14ac:dyDescent="0.3">
      <c r="A13" s="17" t="s">
        <v>45</v>
      </c>
      <c r="B13" s="18" t="s">
        <v>46</v>
      </c>
      <c r="C13" s="18" t="s">
        <v>31</v>
      </c>
      <c r="D13" s="18" t="s">
        <v>44</v>
      </c>
      <c r="E13" s="18" t="s">
        <v>17</v>
      </c>
      <c r="F13" s="18">
        <v>4986.72</v>
      </c>
      <c r="G13" s="18">
        <v>1396.28</v>
      </c>
      <c r="H13" s="18">
        <v>9</v>
      </c>
    </row>
    <row r="14" spans="1:8" s="1" customFormat="1" ht="36" customHeight="1" x14ac:dyDescent="0.3">
      <c r="A14" s="17" t="s">
        <v>47</v>
      </c>
      <c r="B14" s="18" t="s">
        <v>48</v>
      </c>
      <c r="C14" s="18" t="s">
        <v>36</v>
      </c>
      <c r="D14" s="18" t="s">
        <v>49</v>
      </c>
      <c r="E14" s="18" t="s">
        <v>12</v>
      </c>
      <c r="F14" s="18">
        <v>356.76</v>
      </c>
      <c r="G14" s="18">
        <v>114.16</v>
      </c>
      <c r="H14" s="18">
        <v>3</v>
      </c>
    </row>
    <row r="15" spans="1:8" s="1" customFormat="1" ht="36" customHeight="1" x14ac:dyDescent="0.3">
      <c r="A15" s="17"/>
      <c r="B15" s="18"/>
      <c r="C15" s="18"/>
      <c r="D15" s="18"/>
      <c r="E15" s="18"/>
      <c r="F15" s="18"/>
      <c r="G15" s="18"/>
      <c r="H15" s="18"/>
    </row>
    <row r="16" spans="1:8" s="1" customFormat="1" ht="36" customHeight="1" x14ac:dyDescent="0.3">
      <c r="A16" s="17" t="s">
        <v>50</v>
      </c>
      <c r="B16" s="18" t="s">
        <v>51</v>
      </c>
      <c r="C16" s="18" t="s">
        <v>36</v>
      </c>
      <c r="D16" s="18" t="s">
        <v>23</v>
      </c>
      <c r="E16" s="18" t="s">
        <v>12</v>
      </c>
      <c r="F16" s="18">
        <v>1416.69</v>
      </c>
      <c r="G16" s="18">
        <v>425.01</v>
      </c>
      <c r="H16" s="18">
        <v>11</v>
      </c>
    </row>
    <row r="17" spans="1:8" s="1" customFormat="1" ht="36" customHeight="1" x14ac:dyDescent="0.3">
      <c r="A17" s="17" t="s">
        <v>52</v>
      </c>
      <c r="B17" s="18" t="s">
        <v>28</v>
      </c>
      <c r="C17" s="18" t="s">
        <v>36</v>
      </c>
      <c r="D17" s="18" t="s">
        <v>20</v>
      </c>
      <c r="E17" s="18" t="s">
        <v>17</v>
      </c>
      <c r="F17" s="18">
        <v>2983.6</v>
      </c>
      <c r="G17" s="18">
        <v>716.06</v>
      </c>
      <c r="H17" s="18">
        <v>8</v>
      </c>
    </row>
    <row r="18" spans="1:8" s="1" customFormat="1" ht="36" customHeight="1" x14ac:dyDescent="0.3">
      <c r="A18" s="17" t="s">
        <v>53</v>
      </c>
      <c r="B18" s="18" t="s">
        <v>54</v>
      </c>
      <c r="C18" s="18" t="s">
        <v>36</v>
      </c>
      <c r="D18" s="18" t="s">
        <v>40</v>
      </c>
      <c r="E18" s="18" t="s">
        <v>41</v>
      </c>
      <c r="F18" s="18">
        <v>2034.99</v>
      </c>
      <c r="G18" s="18">
        <v>366.3</v>
      </c>
      <c r="H18" s="18">
        <v>9</v>
      </c>
    </row>
    <row r="19" spans="1:8" s="1" customFormat="1" ht="36" customHeight="1" x14ac:dyDescent="0.3">
      <c r="A19" s="17" t="s">
        <v>55</v>
      </c>
      <c r="B19" s="18" t="s">
        <v>56</v>
      </c>
      <c r="C19" s="18" t="s">
        <v>36</v>
      </c>
      <c r="D19" s="18" t="s">
        <v>37</v>
      </c>
      <c r="E19" s="18" t="s">
        <v>17</v>
      </c>
      <c r="F19" s="18">
        <v>5628.42</v>
      </c>
      <c r="G19" s="18">
        <v>1125.68</v>
      </c>
      <c r="H19" s="18">
        <v>18</v>
      </c>
    </row>
    <row r="20" spans="1:8" s="1" customFormat="1" ht="36" customHeight="1" x14ac:dyDescent="0.3">
      <c r="A20" s="17" t="s">
        <v>57</v>
      </c>
      <c r="B20" s="18" t="s">
        <v>58</v>
      </c>
      <c r="C20" s="18" t="s">
        <v>10</v>
      </c>
      <c r="D20" s="18" t="s">
        <v>40</v>
      </c>
      <c r="E20" s="18" t="s">
        <v>41</v>
      </c>
      <c r="F20" s="18">
        <v>3938.55</v>
      </c>
      <c r="G20" s="18">
        <v>708.94</v>
      </c>
      <c r="H20" s="18">
        <v>15</v>
      </c>
    </row>
    <row r="21" spans="1:8" s="1" customFormat="1" ht="36" customHeight="1" x14ac:dyDescent="0.3">
      <c r="A21" s="17" t="s">
        <v>59</v>
      </c>
      <c r="B21" s="18" t="s">
        <v>60</v>
      </c>
      <c r="C21" s="18" t="s">
        <v>10</v>
      </c>
      <c r="D21" s="18" t="s">
        <v>44</v>
      </c>
      <c r="E21" s="18" t="s">
        <v>17</v>
      </c>
      <c r="F21" s="18">
        <v>4330.32</v>
      </c>
      <c r="G21" s="18">
        <v>1212.49</v>
      </c>
      <c r="H21" s="18">
        <v>8</v>
      </c>
    </row>
    <row r="22" spans="1:8" s="1" customFormat="1" ht="36" customHeight="1" x14ac:dyDescent="0.3">
      <c r="A22" s="17" t="s">
        <v>61</v>
      </c>
      <c r="B22" s="18" t="s">
        <v>62</v>
      </c>
      <c r="C22" s="18" t="s">
        <v>31</v>
      </c>
      <c r="D22" s="18" t="s">
        <v>26</v>
      </c>
      <c r="E22" s="18" t="s">
        <v>12</v>
      </c>
      <c r="F22" s="18">
        <v>721.11</v>
      </c>
      <c r="G22" s="18">
        <v>274.02</v>
      </c>
      <c r="H22" s="18">
        <v>13</v>
      </c>
    </row>
    <row r="23" spans="1:8" s="1" customFormat="1" ht="36" customHeight="1" x14ac:dyDescent="0.3">
      <c r="A23" s="17" t="s">
        <v>63</v>
      </c>
      <c r="B23" s="18" t="s">
        <v>64</v>
      </c>
      <c r="C23" s="18" t="s">
        <v>36</v>
      </c>
      <c r="D23" s="18" t="s">
        <v>16</v>
      </c>
      <c r="E23" s="18" t="s">
        <v>17</v>
      </c>
      <c r="F23" s="18">
        <v>3012.8</v>
      </c>
      <c r="G23" s="18">
        <v>753.2</v>
      </c>
      <c r="H23" s="18">
        <v>7</v>
      </c>
    </row>
    <row r="24" spans="1:8" s="1" customFormat="1" ht="36" customHeight="1" x14ac:dyDescent="0.3">
      <c r="A24" s="17" t="s">
        <v>65</v>
      </c>
      <c r="B24" s="18" t="s">
        <v>66</v>
      </c>
      <c r="C24" s="18" t="s">
        <v>36</v>
      </c>
      <c r="D24" s="18" t="s">
        <v>44</v>
      </c>
      <c r="E24" s="18" t="s">
        <v>17</v>
      </c>
      <c r="F24" s="18">
        <v>10339.99</v>
      </c>
      <c r="G24" s="18">
        <v>2895.2</v>
      </c>
      <c r="H24" s="18">
        <v>19</v>
      </c>
    </row>
    <row r="25" spans="1:8" s="1" customFormat="1" ht="36" customHeight="1" x14ac:dyDescent="0.3">
      <c r="A25" s="17" t="s">
        <v>67</v>
      </c>
      <c r="B25" s="18" t="s">
        <v>68</v>
      </c>
      <c r="C25" s="18" t="s">
        <v>10</v>
      </c>
      <c r="D25" s="18" t="s">
        <v>20</v>
      </c>
      <c r="E25" s="18" t="s">
        <v>17</v>
      </c>
      <c r="F25" s="18">
        <v>3364.29</v>
      </c>
      <c r="G25" s="18">
        <v>807.43</v>
      </c>
      <c r="H25" s="18">
        <v>9</v>
      </c>
    </row>
    <row r="26" spans="1:8" s="1" customFormat="1" ht="36" customHeight="1" x14ac:dyDescent="0.3">
      <c r="A26" s="17" t="s">
        <v>69</v>
      </c>
      <c r="B26" s="18" t="s">
        <v>70</v>
      </c>
      <c r="C26" s="18" t="s">
        <v>10</v>
      </c>
      <c r="D26" s="18" t="s">
        <v>11</v>
      </c>
      <c r="E26" s="18" t="s">
        <v>12</v>
      </c>
      <c r="F26" s="18">
        <v>785.1</v>
      </c>
      <c r="G26" s="18">
        <v>274.77999999999997</v>
      </c>
      <c r="H26" s="18">
        <v>10</v>
      </c>
    </row>
    <row r="27" spans="1:8" s="1" customFormat="1" ht="36" customHeight="1" x14ac:dyDescent="0.3">
      <c r="A27" s="17" t="s">
        <v>71</v>
      </c>
      <c r="B27" s="18" t="s">
        <v>72</v>
      </c>
      <c r="C27" s="18" t="s">
        <v>15</v>
      </c>
      <c r="D27" s="18" t="s">
        <v>20</v>
      </c>
      <c r="E27" s="18" t="s">
        <v>17</v>
      </c>
      <c r="F27" s="18">
        <v>2082.6999999999998</v>
      </c>
      <c r="G27" s="18">
        <v>499.85</v>
      </c>
      <c r="H27" s="18">
        <v>5</v>
      </c>
    </row>
    <row r="28" spans="1:8" s="1" customFormat="1" ht="36" customHeight="1" x14ac:dyDescent="0.3">
      <c r="A28" s="17" t="s">
        <v>73</v>
      </c>
      <c r="B28" s="18" t="s">
        <v>74</v>
      </c>
      <c r="C28" s="18" t="s">
        <v>10</v>
      </c>
      <c r="D28" s="18" t="s">
        <v>16</v>
      </c>
      <c r="E28" s="18" t="s">
        <v>17</v>
      </c>
      <c r="F28" s="18">
        <v>4118.8999999999996</v>
      </c>
      <c r="G28" s="18">
        <v>1029.72</v>
      </c>
      <c r="H28" s="18">
        <v>10</v>
      </c>
    </row>
    <row r="29" spans="1:8" s="1" customFormat="1" ht="36" customHeight="1" x14ac:dyDescent="0.3">
      <c r="A29" s="17" t="s">
        <v>75</v>
      </c>
      <c r="B29" s="18" t="s">
        <v>76</v>
      </c>
      <c r="C29" s="18" t="s">
        <v>15</v>
      </c>
      <c r="D29" s="18" t="s">
        <v>23</v>
      </c>
      <c r="E29" s="18" t="s">
        <v>12</v>
      </c>
      <c r="F29" s="18">
        <v>2326.0500000000002</v>
      </c>
      <c r="G29" s="18">
        <v>697.82</v>
      </c>
      <c r="H29" s="18">
        <v>15</v>
      </c>
    </row>
    <row r="30" spans="1:8" s="1" customFormat="1" ht="36" customHeight="1" x14ac:dyDescent="0.3">
      <c r="A30" s="17" t="s">
        <v>77</v>
      </c>
      <c r="B30" s="18" t="s">
        <v>78</v>
      </c>
      <c r="C30" s="18" t="s">
        <v>31</v>
      </c>
      <c r="D30" s="18" t="s">
        <v>16</v>
      </c>
      <c r="E30" s="18" t="s">
        <v>17</v>
      </c>
      <c r="F30" s="18">
        <v>5533.68</v>
      </c>
      <c r="G30" s="18">
        <v>1383.42</v>
      </c>
      <c r="H30" s="18">
        <v>12</v>
      </c>
    </row>
    <row r="31" spans="1:8" s="1" customFormat="1" ht="36" customHeight="1" x14ac:dyDescent="0.3">
      <c r="A31" s="17" t="s">
        <v>79</v>
      </c>
      <c r="B31" s="18" t="s">
        <v>80</v>
      </c>
      <c r="C31" s="18" t="s">
        <v>15</v>
      </c>
      <c r="D31" s="18" t="s">
        <v>37</v>
      </c>
      <c r="E31" s="18" t="s">
        <v>17</v>
      </c>
      <c r="F31" s="18">
        <v>4267.8999999999996</v>
      </c>
      <c r="G31" s="18">
        <v>853.58</v>
      </c>
      <c r="H31" s="18">
        <v>14</v>
      </c>
    </row>
    <row r="32" spans="1:8" s="1" customFormat="1" ht="36" customHeight="1" x14ac:dyDescent="0.3">
      <c r="A32" s="17" t="s">
        <v>81</v>
      </c>
      <c r="B32" s="18" t="s">
        <v>78</v>
      </c>
      <c r="C32" s="18" t="s">
        <v>10</v>
      </c>
      <c r="D32" s="18" t="s">
        <v>16</v>
      </c>
      <c r="E32" s="18" t="s">
        <v>17</v>
      </c>
      <c r="F32" s="18">
        <v>3375.47</v>
      </c>
      <c r="G32" s="18">
        <v>843.87</v>
      </c>
      <c r="H32" s="18">
        <v>7</v>
      </c>
    </row>
    <row r="33" spans="1:8" s="1" customFormat="1" ht="36" customHeight="1" x14ac:dyDescent="0.3">
      <c r="A33" s="17" t="s">
        <v>82</v>
      </c>
      <c r="B33" s="18" t="s">
        <v>83</v>
      </c>
      <c r="C33" s="18" t="s">
        <v>31</v>
      </c>
      <c r="D33" s="18" t="s">
        <v>49</v>
      </c>
      <c r="E33" s="18" t="s">
        <v>12</v>
      </c>
      <c r="F33" s="18">
        <v>2106.34</v>
      </c>
      <c r="G33" s="18">
        <v>674.03</v>
      </c>
      <c r="H33" s="18">
        <v>19</v>
      </c>
    </row>
    <row r="34" spans="1:8" s="1" customFormat="1" ht="36" customHeight="1" x14ac:dyDescent="0.3">
      <c r="A34" s="17" t="s">
        <v>84</v>
      </c>
      <c r="B34" s="18" t="s">
        <v>85</v>
      </c>
      <c r="C34" s="18" t="s">
        <v>36</v>
      </c>
      <c r="D34" s="18" t="s">
        <v>37</v>
      </c>
      <c r="E34" s="18" t="s">
        <v>17</v>
      </c>
      <c r="F34" s="18">
        <v>3954.6</v>
      </c>
      <c r="G34" s="18">
        <v>790.92</v>
      </c>
      <c r="H34" s="18">
        <v>12</v>
      </c>
    </row>
    <row r="35" spans="1:8" s="1" customFormat="1" ht="36" customHeight="1" x14ac:dyDescent="0.3">
      <c r="A35" s="17" t="s">
        <v>86</v>
      </c>
      <c r="B35" s="18" t="s">
        <v>62</v>
      </c>
      <c r="C35" s="18" t="s">
        <v>31</v>
      </c>
      <c r="D35" s="18" t="s">
        <v>40</v>
      </c>
      <c r="E35" s="18" t="s">
        <v>41</v>
      </c>
      <c r="F35" s="18">
        <v>727.65</v>
      </c>
      <c r="G35" s="18">
        <v>130.97999999999999</v>
      </c>
      <c r="H35" s="18">
        <v>3</v>
      </c>
    </row>
    <row r="36" spans="1:8" s="1" customFormat="1" ht="36" customHeight="1" x14ac:dyDescent="0.3">
      <c r="A36" s="17" t="s">
        <v>87</v>
      </c>
      <c r="B36" s="18" t="s">
        <v>88</v>
      </c>
      <c r="C36" s="18" t="s">
        <v>10</v>
      </c>
      <c r="D36" s="18" t="s">
        <v>11</v>
      </c>
      <c r="E36" s="18" t="s">
        <v>12</v>
      </c>
      <c r="F36" s="18">
        <v>1099.8</v>
      </c>
      <c r="G36" s="18">
        <v>384.93</v>
      </c>
      <c r="H36" s="18">
        <v>13</v>
      </c>
    </row>
    <row r="37" spans="1:8" s="1" customFormat="1" ht="36" customHeight="1" x14ac:dyDescent="0.3">
      <c r="A37" s="17" t="s">
        <v>89</v>
      </c>
      <c r="B37" s="18" t="s">
        <v>90</v>
      </c>
      <c r="C37" s="18" t="s">
        <v>15</v>
      </c>
      <c r="D37" s="18" t="s">
        <v>20</v>
      </c>
      <c r="E37" s="18" t="s">
        <v>17</v>
      </c>
      <c r="F37" s="18">
        <v>6162.38</v>
      </c>
      <c r="G37" s="18">
        <v>1478.97</v>
      </c>
      <c r="H37" s="18">
        <v>14</v>
      </c>
    </row>
    <row r="38" spans="1:8" s="1" customFormat="1" ht="36" customHeight="1" x14ac:dyDescent="0.3">
      <c r="A38" s="17" t="s">
        <v>91</v>
      </c>
      <c r="B38" s="18" t="s">
        <v>92</v>
      </c>
      <c r="C38" s="18" t="s">
        <v>36</v>
      </c>
      <c r="D38" s="18" t="s">
        <v>37</v>
      </c>
      <c r="E38" s="18" t="s">
        <v>17</v>
      </c>
      <c r="F38" s="18">
        <v>5692.64</v>
      </c>
      <c r="G38" s="18">
        <v>1138.53</v>
      </c>
      <c r="H38" s="18">
        <v>16</v>
      </c>
    </row>
    <row r="39" spans="1:8" s="1" customFormat="1" ht="36" customHeight="1" x14ac:dyDescent="0.3">
      <c r="A39" s="17" t="s">
        <v>93</v>
      </c>
      <c r="B39" s="18" t="s">
        <v>94</v>
      </c>
      <c r="C39" s="18" t="s">
        <v>15</v>
      </c>
      <c r="D39" s="18" t="s">
        <v>20</v>
      </c>
      <c r="E39" s="18" t="s">
        <v>17</v>
      </c>
      <c r="F39" s="18">
        <v>9161.2000000000007</v>
      </c>
      <c r="G39" s="18">
        <v>2198.69</v>
      </c>
      <c r="H39" s="18">
        <v>20</v>
      </c>
    </row>
    <row r="40" spans="1:8" s="1" customFormat="1" ht="36" customHeight="1" x14ac:dyDescent="0.3">
      <c r="A40" s="17" t="s">
        <v>95</v>
      </c>
      <c r="B40" s="18" t="s">
        <v>96</v>
      </c>
      <c r="C40" s="18" t="s">
        <v>31</v>
      </c>
      <c r="D40" s="18" t="s">
        <v>49</v>
      </c>
      <c r="E40" s="18" t="s">
        <v>12</v>
      </c>
      <c r="F40" s="18">
        <v>1450.15</v>
      </c>
      <c r="G40" s="18">
        <v>464.05</v>
      </c>
      <c r="H40" s="18">
        <v>13</v>
      </c>
    </row>
    <row r="41" spans="1:8" s="1" customFormat="1" ht="36" customHeight="1" x14ac:dyDescent="0.3">
      <c r="A41" s="17" t="s">
        <v>97</v>
      </c>
      <c r="B41" s="18" t="s">
        <v>98</v>
      </c>
      <c r="C41" s="18" t="s">
        <v>15</v>
      </c>
      <c r="D41" s="18" t="s">
        <v>44</v>
      </c>
      <c r="E41" s="18" t="s">
        <v>17</v>
      </c>
      <c r="F41" s="18">
        <v>7505.64</v>
      </c>
      <c r="G41" s="18">
        <v>2101.58</v>
      </c>
      <c r="H41" s="18">
        <v>12</v>
      </c>
    </row>
    <row r="42" spans="1:8" s="1" customFormat="1" ht="36" customHeight="1" x14ac:dyDescent="0.3">
      <c r="A42" s="17" t="s">
        <v>99</v>
      </c>
      <c r="B42" s="18" t="s">
        <v>100</v>
      </c>
      <c r="C42" s="18" t="s">
        <v>10</v>
      </c>
      <c r="D42" s="18" t="s">
        <v>44</v>
      </c>
      <c r="E42" s="18" t="s">
        <v>17</v>
      </c>
      <c r="F42" s="18">
        <v>9538.5</v>
      </c>
      <c r="G42" s="18">
        <v>2670.78</v>
      </c>
      <c r="H42" s="18">
        <v>15</v>
      </c>
    </row>
    <row r="43" spans="1:8" s="1" customFormat="1" ht="36" customHeight="1" x14ac:dyDescent="0.3">
      <c r="A43" s="17" t="s">
        <v>101</v>
      </c>
      <c r="B43" s="18" t="s">
        <v>102</v>
      </c>
      <c r="C43" s="18" t="s">
        <v>31</v>
      </c>
      <c r="D43" s="18" t="s">
        <v>16</v>
      </c>
      <c r="E43" s="18" t="s">
        <v>17</v>
      </c>
      <c r="F43" s="18">
        <v>6206.48</v>
      </c>
      <c r="G43" s="18">
        <v>1551.62</v>
      </c>
      <c r="H43" s="18">
        <v>14</v>
      </c>
    </row>
    <row r="44" spans="1:8" s="1" customFormat="1" ht="36" customHeight="1" x14ac:dyDescent="0.3">
      <c r="A44" s="17" t="s">
        <v>103</v>
      </c>
      <c r="B44" s="18" t="s">
        <v>104</v>
      </c>
      <c r="C44" s="18" t="s">
        <v>10</v>
      </c>
      <c r="D44" s="18" t="s">
        <v>49</v>
      </c>
      <c r="E44" s="18" t="s">
        <v>12</v>
      </c>
      <c r="F44" s="18">
        <v>1067.8499999999999</v>
      </c>
      <c r="G44" s="18">
        <v>341.71</v>
      </c>
      <c r="H44" s="18">
        <v>9</v>
      </c>
    </row>
    <row r="45" spans="1:8" s="1" customFormat="1" ht="36" customHeight="1" x14ac:dyDescent="0.3">
      <c r="A45" s="17" t="s">
        <v>105</v>
      </c>
      <c r="B45" s="18" t="s">
        <v>106</v>
      </c>
      <c r="C45" s="18" t="s">
        <v>36</v>
      </c>
      <c r="D45" s="18" t="s">
        <v>49</v>
      </c>
      <c r="E45" s="18" t="s">
        <v>12</v>
      </c>
      <c r="F45" s="18">
        <v>1440.14</v>
      </c>
      <c r="G45" s="18">
        <v>460.84</v>
      </c>
      <c r="H45" s="18">
        <v>13</v>
      </c>
    </row>
    <row r="46" spans="1:8" s="1" customFormat="1" ht="36" customHeight="1" x14ac:dyDescent="0.3">
      <c r="A46" s="17" t="s">
        <v>107</v>
      </c>
      <c r="B46" s="18" t="s">
        <v>108</v>
      </c>
      <c r="C46" s="18" t="s">
        <v>10</v>
      </c>
      <c r="D46" s="18" t="s">
        <v>16</v>
      </c>
      <c r="E46" s="18" t="s">
        <v>17</v>
      </c>
      <c r="F46" s="18">
        <v>1315.53</v>
      </c>
      <c r="G46" s="18">
        <v>328.88</v>
      </c>
      <c r="H46" s="18">
        <v>3</v>
      </c>
    </row>
    <row r="47" spans="1:8" s="1" customFormat="1" ht="36" customHeight="1" x14ac:dyDescent="0.3">
      <c r="A47" s="17" t="s">
        <v>109</v>
      </c>
      <c r="B47" s="18" t="s">
        <v>110</v>
      </c>
      <c r="C47" s="18" t="s">
        <v>15</v>
      </c>
      <c r="D47" s="18" t="s">
        <v>111</v>
      </c>
      <c r="E47" s="18" t="s">
        <v>17</v>
      </c>
      <c r="F47" s="18">
        <v>15585.6</v>
      </c>
      <c r="G47" s="18">
        <v>3428.83</v>
      </c>
      <c r="H47" s="18">
        <v>17</v>
      </c>
    </row>
    <row r="48" spans="1:8" s="1" customFormat="1" ht="36" customHeight="1" x14ac:dyDescent="0.3">
      <c r="A48" s="17" t="s">
        <v>112</v>
      </c>
      <c r="B48" s="18" t="s">
        <v>113</v>
      </c>
      <c r="C48" s="18" t="s">
        <v>31</v>
      </c>
      <c r="D48" s="18" t="s">
        <v>16</v>
      </c>
      <c r="E48" s="18" t="s">
        <v>17</v>
      </c>
      <c r="F48" s="18">
        <v>7833.4</v>
      </c>
      <c r="G48" s="18">
        <v>1958.35</v>
      </c>
      <c r="H48" s="18">
        <v>20</v>
      </c>
    </row>
    <row r="49" spans="1:8" s="1" customFormat="1" ht="36" customHeight="1" x14ac:dyDescent="0.3">
      <c r="A49" s="17" t="s">
        <v>114</v>
      </c>
      <c r="B49" s="18" t="s">
        <v>115</v>
      </c>
      <c r="C49" s="18" t="s">
        <v>10</v>
      </c>
      <c r="D49" s="18" t="s">
        <v>40</v>
      </c>
      <c r="E49" s="18" t="s">
        <v>41</v>
      </c>
      <c r="F49" s="18">
        <v>2006.73</v>
      </c>
      <c r="G49" s="18">
        <v>361.21</v>
      </c>
      <c r="H49" s="18">
        <v>9</v>
      </c>
    </row>
    <row r="50" spans="1:8" s="1" customFormat="1" ht="36" customHeight="1" x14ac:dyDescent="0.3">
      <c r="A50" s="17" t="s">
        <v>116</v>
      </c>
      <c r="B50" s="18" t="s">
        <v>117</v>
      </c>
      <c r="C50" s="18" t="s">
        <v>31</v>
      </c>
      <c r="D50" s="18" t="s">
        <v>23</v>
      </c>
      <c r="E50" s="18" t="s">
        <v>12</v>
      </c>
      <c r="F50" s="18">
        <v>671.05</v>
      </c>
      <c r="G50" s="18">
        <v>201.31</v>
      </c>
      <c r="H50" s="18">
        <v>5</v>
      </c>
    </row>
    <row r="51" spans="1:8" s="1" customFormat="1" ht="36" customHeight="1" x14ac:dyDescent="0.3">
      <c r="A51" s="17" t="s">
        <v>118</v>
      </c>
      <c r="B51" s="18" t="s">
        <v>74</v>
      </c>
      <c r="C51" s="18" t="s">
        <v>31</v>
      </c>
      <c r="D51" s="18" t="s">
        <v>20</v>
      </c>
      <c r="E51" s="18" t="s">
        <v>17</v>
      </c>
      <c r="F51" s="18">
        <v>6964.2</v>
      </c>
      <c r="G51" s="18">
        <v>1671.41</v>
      </c>
      <c r="H51" s="18">
        <v>20</v>
      </c>
    </row>
    <row r="52" spans="1:8" s="1" customFormat="1" ht="36" customHeight="1" x14ac:dyDescent="0.3">
      <c r="A52" s="17"/>
      <c r="B52" s="18"/>
      <c r="C52" s="18"/>
      <c r="D52" s="18"/>
      <c r="E52" s="18"/>
      <c r="F52" s="18"/>
      <c r="G52" s="18"/>
      <c r="H52" s="18"/>
    </row>
    <row r="53" spans="1:8" s="1" customFormat="1" ht="36" customHeight="1" x14ac:dyDescent="0.3">
      <c r="A53" s="17" t="s">
        <v>119</v>
      </c>
      <c r="B53" s="18" t="s">
        <v>120</v>
      </c>
      <c r="C53" s="18" t="s">
        <v>36</v>
      </c>
      <c r="D53" s="18" t="s">
        <v>44</v>
      </c>
      <c r="E53" s="18" t="s">
        <v>17</v>
      </c>
      <c r="F53" s="18">
        <v>1329.1</v>
      </c>
      <c r="G53" s="18">
        <v>372.15</v>
      </c>
      <c r="H53" s="18">
        <v>2</v>
      </c>
    </row>
    <row r="54" spans="1:8" s="1" customFormat="1" ht="36" customHeight="1" x14ac:dyDescent="0.3">
      <c r="A54" s="17" t="s">
        <v>121</v>
      </c>
      <c r="B54" s="18" t="s">
        <v>122</v>
      </c>
      <c r="C54" s="18" t="s">
        <v>31</v>
      </c>
      <c r="D54" s="18" t="s">
        <v>37</v>
      </c>
      <c r="E54" s="18" t="s">
        <v>17</v>
      </c>
      <c r="F54" s="18">
        <v>3867.8</v>
      </c>
      <c r="G54" s="18">
        <v>773.56</v>
      </c>
      <c r="H54" s="18">
        <v>10</v>
      </c>
    </row>
    <row r="55" spans="1:8" s="1" customFormat="1" ht="36" customHeight="1" x14ac:dyDescent="0.3">
      <c r="A55" s="17" t="s">
        <v>123</v>
      </c>
      <c r="B55" s="18" t="s">
        <v>124</v>
      </c>
      <c r="C55" s="18" t="s">
        <v>31</v>
      </c>
      <c r="D55" s="18" t="s">
        <v>111</v>
      </c>
      <c r="E55" s="18" t="s">
        <v>17</v>
      </c>
      <c r="F55" s="18">
        <v>6119.28</v>
      </c>
      <c r="G55" s="18">
        <v>1346.24</v>
      </c>
      <c r="H55" s="18">
        <v>8</v>
      </c>
    </row>
    <row r="56" spans="1:8" s="1" customFormat="1" ht="36" customHeight="1" x14ac:dyDescent="0.3">
      <c r="A56" s="17" t="s">
        <v>125</v>
      </c>
      <c r="B56" s="18" t="s">
        <v>126</v>
      </c>
      <c r="C56" s="18" t="s">
        <v>36</v>
      </c>
      <c r="D56" s="18" t="s">
        <v>49</v>
      </c>
      <c r="E56" s="18" t="s">
        <v>12</v>
      </c>
      <c r="F56" s="18">
        <v>772.62</v>
      </c>
      <c r="G56" s="18">
        <v>247.24</v>
      </c>
      <c r="H56" s="18">
        <v>6</v>
      </c>
    </row>
    <row r="57" spans="1:8" s="1" customFormat="1" ht="36" customHeight="1" x14ac:dyDescent="0.3">
      <c r="A57" s="17" t="s">
        <v>127</v>
      </c>
      <c r="B57" s="18" t="s">
        <v>128</v>
      </c>
      <c r="C57" s="18" t="s">
        <v>15</v>
      </c>
      <c r="D57" s="18" t="s">
        <v>20</v>
      </c>
      <c r="E57" s="18" t="s">
        <v>17</v>
      </c>
      <c r="F57" s="18">
        <v>353.84</v>
      </c>
      <c r="G57" s="18">
        <v>84.92</v>
      </c>
      <c r="H57" s="18">
        <v>1</v>
      </c>
    </row>
    <row r="58" spans="1:8" s="1" customFormat="1" ht="36" customHeight="1" x14ac:dyDescent="0.3">
      <c r="A58" s="17" t="s">
        <v>129</v>
      </c>
      <c r="B58" s="18" t="s">
        <v>130</v>
      </c>
      <c r="C58" s="18" t="s">
        <v>31</v>
      </c>
      <c r="D58" s="18" t="s">
        <v>44</v>
      </c>
      <c r="E58" s="18" t="s">
        <v>17</v>
      </c>
      <c r="F58" s="18">
        <v>6856.33</v>
      </c>
      <c r="G58" s="18">
        <v>1919.77</v>
      </c>
      <c r="H58" s="18">
        <v>13</v>
      </c>
    </row>
    <row r="59" spans="1:8" s="1" customFormat="1" ht="36" customHeight="1" x14ac:dyDescent="0.3">
      <c r="A59" s="17" t="s">
        <v>131</v>
      </c>
      <c r="B59" s="18" t="s">
        <v>132</v>
      </c>
      <c r="C59" s="18" t="s">
        <v>31</v>
      </c>
      <c r="D59" s="18" t="s">
        <v>16</v>
      </c>
      <c r="E59" s="18" t="s">
        <v>17</v>
      </c>
      <c r="F59" s="18">
        <v>7808.16</v>
      </c>
      <c r="G59" s="18">
        <v>1952.04</v>
      </c>
      <c r="H59" s="18">
        <v>16</v>
      </c>
    </row>
    <row r="60" spans="1:8" s="1" customFormat="1" ht="36" customHeight="1" x14ac:dyDescent="0.3">
      <c r="A60" s="17" t="s">
        <v>133</v>
      </c>
      <c r="B60" s="18" t="s">
        <v>134</v>
      </c>
      <c r="C60" s="18" t="s">
        <v>31</v>
      </c>
      <c r="D60" s="18" t="s">
        <v>44</v>
      </c>
      <c r="E60" s="18" t="s">
        <v>17</v>
      </c>
      <c r="F60" s="18">
        <v>10510.08</v>
      </c>
      <c r="G60" s="18">
        <v>2942.82</v>
      </c>
      <c r="H60" s="18">
        <v>16</v>
      </c>
    </row>
    <row r="61" spans="1:8" s="1" customFormat="1" ht="36" customHeight="1" x14ac:dyDescent="0.3">
      <c r="A61" s="17" t="s">
        <v>135</v>
      </c>
      <c r="B61" s="18" t="s">
        <v>136</v>
      </c>
      <c r="C61" s="18" t="s">
        <v>15</v>
      </c>
      <c r="D61" s="18" t="s">
        <v>20</v>
      </c>
      <c r="E61" s="18" t="s">
        <v>17</v>
      </c>
      <c r="F61" s="18">
        <v>7436.79</v>
      </c>
      <c r="G61" s="18">
        <v>1784.83</v>
      </c>
      <c r="H61" s="18">
        <v>19</v>
      </c>
    </row>
    <row r="62" spans="1:8" s="1" customFormat="1" ht="36" customHeight="1" x14ac:dyDescent="0.3">
      <c r="A62" s="17" t="s">
        <v>137</v>
      </c>
      <c r="B62" s="18" t="s">
        <v>138</v>
      </c>
      <c r="C62" s="18" t="s">
        <v>15</v>
      </c>
      <c r="D62" s="18" t="s">
        <v>26</v>
      </c>
      <c r="E62" s="18" t="s">
        <v>12</v>
      </c>
      <c r="F62" s="18">
        <v>46.74</v>
      </c>
      <c r="G62" s="18">
        <v>17.760000000000002</v>
      </c>
      <c r="H62" s="18">
        <v>1</v>
      </c>
    </row>
    <row r="63" spans="1:8" s="1" customFormat="1" ht="36" customHeight="1" x14ac:dyDescent="0.3">
      <c r="A63" s="17" t="s">
        <v>139</v>
      </c>
      <c r="B63" s="18" t="s">
        <v>140</v>
      </c>
      <c r="C63" s="18" t="s">
        <v>10</v>
      </c>
      <c r="D63" s="18" t="s">
        <v>23</v>
      </c>
      <c r="E63" s="18" t="s">
        <v>12</v>
      </c>
      <c r="F63" s="18">
        <v>419.79</v>
      </c>
      <c r="G63" s="18">
        <v>125.94</v>
      </c>
      <c r="H63" s="18">
        <v>3</v>
      </c>
    </row>
    <row r="64" spans="1:8" s="1" customFormat="1" ht="36" customHeight="1" x14ac:dyDescent="0.3">
      <c r="A64" s="17" t="s">
        <v>141</v>
      </c>
      <c r="B64" s="18" t="s">
        <v>142</v>
      </c>
      <c r="C64" s="18" t="s">
        <v>15</v>
      </c>
      <c r="D64" s="18" t="s">
        <v>26</v>
      </c>
      <c r="E64" s="18" t="s">
        <v>12</v>
      </c>
      <c r="F64" s="18">
        <v>1060.4000000000001</v>
      </c>
      <c r="G64" s="18">
        <v>402.95</v>
      </c>
      <c r="H64" s="18">
        <v>20</v>
      </c>
    </row>
    <row r="65" spans="1:8" s="1" customFormat="1" ht="36" customHeight="1" x14ac:dyDescent="0.3">
      <c r="A65" s="17" t="s">
        <v>143</v>
      </c>
      <c r="B65" s="18" t="s">
        <v>144</v>
      </c>
      <c r="C65" s="18" t="s">
        <v>15</v>
      </c>
      <c r="D65" s="18" t="s">
        <v>37</v>
      </c>
      <c r="E65" s="18" t="s">
        <v>17</v>
      </c>
      <c r="F65" s="18">
        <v>2564.2399999999998</v>
      </c>
      <c r="G65" s="18">
        <v>512.85</v>
      </c>
      <c r="H65" s="18">
        <v>7</v>
      </c>
    </row>
    <row r="66" spans="1:8" s="1" customFormat="1" ht="36" customHeight="1" x14ac:dyDescent="0.3">
      <c r="A66" s="17" t="s">
        <v>145</v>
      </c>
      <c r="B66" s="18" t="s">
        <v>146</v>
      </c>
      <c r="C66" s="18" t="s">
        <v>15</v>
      </c>
      <c r="D66" s="18" t="s">
        <v>11</v>
      </c>
      <c r="E66" s="18" t="s">
        <v>12</v>
      </c>
      <c r="F66" s="18">
        <v>567.20000000000005</v>
      </c>
      <c r="G66" s="18">
        <v>198.52</v>
      </c>
      <c r="H66" s="18">
        <v>8</v>
      </c>
    </row>
    <row r="67" spans="1:8" s="1" customFormat="1" ht="36" customHeight="1" x14ac:dyDescent="0.3">
      <c r="A67" s="17" t="s">
        <v>147</v>
      </c>
      <c r="B67" s="18" t="s">
        <v>148</v>
      </c>
      <c r="C67" s="18" t="s">
        <v>31</v>
      </c>
      <c r="D67" s="18" t="s">
        <v>23</v>
      </c>
      <c r="E67" s="18" t="s">
        <v>12</v>
      </c>
      <c r="F67" s="18">
        <v>1430.77</v>
      </c>
      <c r="G67" s="18">
        <v>429.23</v>
      </c>
      <c r="H67" s="18">
        <v>11</v>
      </c>
    </row>
    <row r="68" spans="1:8" s="1" customFormat="1" ht="36" customHeight="1" x14ac:dyDescent="0.3">
      <c r="A68" s="17" t="s">
        <v>149</v>
      </c>
      <c r="B68" s="18" t="s">
        <v>150</v>
      </c>
      <c r="C68" s="18" t="s">
        <v>10</v>
      </c>
      <c r="D68" s="18" t="s">
        <v>111</v>
      </c>
      <c r="E68" s="18" t="s">
        <v>17</v>
      </c>
      <c r="F68" s="18">
        <v>2860.14</v>
      </c>
      <c r="G68" s="18">
        <v>629.23</v>
      </c>
      <c r="H68" s="18">
        <v>3</v>
      </c>
    </row>
    <row r="69" spans="1:8" s="1" customFormat="1" ht="36" customHeight="1" x14ac:dyDescent="0.3">
      <c r="A69" s="17" t="s">
        <v>151</v>
      </c>
      <c r="B69" s="18" t="s">
        <v>83</v>
      </c>
      <c r="C69" s="18" t="s">
        <v>10</v>
      </c>
      <c r="D69" s="18" t="s">
        <v>11</v>
      </c>
      <c r="E69" s="18" t="s">
        <v>12</v>
      </c>
      <c r="F69" s="18">
        <v>500.78</v>
      </c>
      <c r="G69" s="18">
        <v>175.27</v>
      </c>
      <c r="H69" s="18">
        <v>7</v>
      </c>
    </row>
    <row r="70" spans="1:8" s="1" customFormat="1" ht="36" customHeight="1" x14ac:dyDescent="0.3">
      <c r="A70" s="17" t="s">
        <v>152</v>
      </c>
      <c r="B70" s="18" t="s">
        <v>153</v>
      </c>
      <c r="C70" s="18" t="s">
        <v>36</v>
      </c>
      <c r="D70" s="18" t="s">
        <v>44</v>
      </c>
      <c r="E70" s="18" t="s">
        <v>17</v>
      </c>
      <c r="F70" s="18">
        <v>1828.11</v>
      </c>
      <c r="G70" s="18">
        <v>511.87</v>
      </c>
      <c r="H70" s="18">
        <v>3</v>
      </c>
    </row>
    <row r="71" spans="1:8" s="1" customFormat="1" ht="36" customHeight="1" x14ac:dyDescent="0.3">
      <c r="A71" s="17" t="s">
        <v>154</v>
      </c>
      <c r="B71" s="18" t="s">
        <v>155</v>
      </c>
      <c r="C71" s="18" t="s">
        <v>36</v>
      </c>
      <c r="D71" s="18" t="s">
        <v>11</v>
      </c>
      <c r="E71" s="18" t="s">
        <v>12</v>
      </c>
      <c r="F71" s="18">
        <v>792.36</v>
      </c>
      <c r="G71" s="18">
        <v>277.33</v>
      </c>
      <c r="H71" s="18">
        <v>9</v>
      </c>
    </row>
    <row r="72" spans="1:8" s="1" customFormat="1" ht="36" customHeight="1" x14ac:dyDescent="0.3">
      <c r="A72" s="17" t="s">
        <v>156</v>
      </c>
      <c r="B72" s="18" t="s">
        <v>157</v>
      </c>
      <c r="C72" s="18" t="s">
        <v>10</v>
      </c>
      <c r="D72" s="18" t="s">
        <v>49</v>
      </c>
      <c r="E72" s="18" t="s">
        <v>12</v>
      </c>
      <c r="F72" s="18">
        <v>2026.5</v>
      </c>
      <c r="G72" s="18">
        <v>648.48</v>
      </c>
      <c r="H72" s="18">
        <v>15</v>
      </c>
    </row>
    <row r="73" spans="1:8" s="1" customFormat="1" ht="36" customHeight="1" x14ac:dyDescent="0.3">
      <c r="A73" s="17" t="s">
        <v>158</v>
      </c>
      <c r="B73" s="18" t="s">
        <v>159</v>
      </c>
      <c r="C73" s="18" t="s">
        <v>15</v>
      </c>
      <c r="D73" s="18" t="s">
        <v>20</v>
      </c>
      <c r="E73" s="18" t="s">
        <v>17</v>
      </c>
      <c r="F73" s="18">
        <v>5307.96</v>
      </c>
      <c r="G73" s="18">
        <v>1273.9100000000001</v>
      </c>
      <c r="H73" s="18">
        <v>14</v>
      </c>
    </row>
    <row r="74" spans="1:8" s="1" customFormat="1" ht="36" customHeight="1" x14ac:dyDescent="0.3">
      <c r="A74" s="17" t="s">
        <v>160</v>
      </c>
      <c r="B74" s="18" t="s">
        <v>161</v>
      </c>
      <c r="C74" s="18" t="s">
        <v>10</v>
      </c>
      <c r="D74" s="18" t="s">
        <v>20</v>
      </c>
      <c r="E74" s="18" t="s">
        <v>17</v>
      </c>
      <c r="F74" s="18">
        <v>7026.12</v>
      </c>
      <c r="G74" s="18">
        <v>1686.27</v>
      </c>
      <c r="H74" s="18">
        <v>18</v>
      </c>
    </row>
    <row r="75" spans="1:8" s="1" customFormat="1" ht="36" customHeight="1" x14ac:dyDescent="0.3">
      <c r="A75" s="17" t="s">
        <v>162</v>
      </c>
      <c r="B75" s="18" t="s">
        <v>163</v>
      </c>
      <c r="C75" s="18" t="s">
        <v>31</v>
      </c>
      <c r="D75" s="18" t="s">
        <v>26</v>
      </c>
      <c r="E75" s="18" t="s">
        <v>12</v>
      </c>
      <c r="F75" s="18">
        <v>1021.68</v>
      </c>
      <c r="G75" s="18">
        <v>388.24</v>
      </c>
      <c r="H75" s="18">
        <v>18</v>
      </c>
    </row>
    <row r="76" spans="1:8" s="1" customFormat="1" ht="36" customHeight="1" x14ac:dyDescent="0.3">
      <c r="A76" s="17" t="s">
        <v>164</v>
      </c>
      <c r="B76" s="18" t="s">
        <v>165</v>
      </c>
      <c r="C76" s="18" t="s">
        <v>15</v>
      </c>
      <c r="D76" s="18" t="s">
        <v>111</v>
      </c>
      <c r="E76" s="18" t="s">
        <v>17</v>
      </c>
      <c r="F76" s="18">
        <v>11639.52</v>
      </c>
      <c r="G76" s="18">
        <v>2560.69</v>
      </c>
      <c r="H76" s="18">
        <v>16</v>
      </c>
    </row>
    <row r="77" spans="1:8" s="1" customFormat="1" ht="36" customHeight="1" x14ac:dyDescent="0.3">
      <c r="A77" s="17" t="s">
        <v>166</v>
      </c>
      <c r="B77" s="18" t="s">
        <v>167</v>
      </c>
      <c r="C77" s="18" t="s">
        <v>10</v>
      </c>
      <c r="D77" s="18" t="s">
        <v>44</v>
      </c>
      <c r="E77" s="18" t="s">
        <v>17</v>
      </c>
      <c r="F77" s="18">
        <v>11542.32</v>
      </c>
      <c r="G77" s="18">
        <v>3231.85</v>
      </c>
      <c r="H77" s="18">
        <v>18</v>
      </c>
    </row>
    <row r="78" spans="1:8" s="1" customFormat="1" ht="36" customHeight="1" x14ac:dyDescent="0.3">
      <c r="A78" s="17" t="s">
        <v>168</v>
      </c>
      <c r="B78" s="18" t="s">
        <v>169</v>
      </c>
      <c r="C78" s="18" t="s">
        <v>31</v>
      </c>
      <c r="D78" s="18" t="s">
        <v>37</v>
      </c>
      <c r="E78" s="18" t="s">
        <v>17</v>
      </c>
      <c r="F78" s="18">
        <v>2375.38</v>
      </c>
      <c r="G78" s="18">
        <v>475.08</v>
      </c>
      <c r="H78" s="18">
        <v>7</v>
      </c>
    </row>
    <row r="79" spans="1:8" s="1" customFormat="1" ht="36" customHeight="1" x14ac:dyDescent="0.3">
      <c r="A79" s="17" t="s">
        <v>170</v>
      </c>
      <c r="B79" s="18" t="s">
        <v>171</v>
      </c>
      <c r="C79" s="18" t="s">
        <v>36</v>
      </c>
      <c r="D79" s="18" t="s">
        <v>49</v>
      </c>
      <c r="E79" s="18" t="s">
        <v>12</v>
      </c>
      <c r="F79" s="18">
        <v>470.44</v>
      </c>
      <c r="G79" s="18">
        <v>150.54</v>
      </c>
      <c r="H79" s="18">
        <v>4</v>
      </c>
    </row>
    <row r="80" spans="1:8" s="1" customFormat="1" ht="36" customHeight="1" x14ac:dyDescent="0.3">
      <c r="A80" s="17" t="s">
        <v>172</v>
      </c>
      <c r="B80" s="18" t="s">
        <v>173</v>
      </c>
      <c r="C80" s="18" t="s">
        <v>31</v>
      </c>
      <c r="D80" s="18" t="s">
        <v>111</v>
      </c>
      <c r="E80" s="18" t="s">
        <v>17</v>
      </c>
      <c r="F80" s="18">
        <v>6186.72</v>
      </c>
      <c r="G80" s="18">
        <v>1361.08</v>
      </c>
      <c r="H80" s="18">
        <v>8</v>
      </c>
    </row>
    <row r="81" spans="1:8" s="1" customFormat="1" ht="36" customHeight="1" x14ac:dyDescent="0.3">
      <c r="A81" s="17" t="s">
        <v>174</v>
      </c>
      <c r="B81" s="18" t="s">
        <v>175</v>
      </c>
      <c r="C81" s="18" t="s">
        <v>15</v>
      </c>
      <c r="D81" s="18" t="s">
        <v>26</v>
      </c>
      <c r="E81" s="18" t="s">
        <v>12</v>
      </c>
      <c r="F81" s="18">
        <v>722.26</v>
      </c>
      <c r="G81" s="18">
        <v>274.45999999999998</v>
      </c>
      <c r="H81" s="18">
        <v>14</v>
      </c>
    </row>
    <row r="82" spans="1:8" s="1" customFormat="1" ht="36" customHeight="1" x14ac:dyDescent="0.3">
      <c r="A82" s="17" t="s">
        <v>123</v>
      </c>
      <c r="B82" s="18" t="s">
        <v>124</v>
      </c>
      <c r="C82" s="18" t="s">
        <v>31</v>
      </c>
      <c r="D82" s="18" t="s">
        <v>111</v>
      </c>
      <c r="E82" s="18" t="s">
        <v>17</v>
      </c>
      <c r="F82" s="18">
        <v>6119.28</v>
      </c>
      <c r="G82" s="18">
        <v>1346.24</v>
      </c>
      <c r="H82" s="18">
        <v>8</v>
      </c>
    </row>
    <row r="83" spans="1:8" s="1" customFormat="1" ht="36" customHeight="1" x14ac:dyDescent="0.3">
      <c r="A83" s="17" t="s">
        <v>176</v>
      </c>
      <c r="B83" s="18" t="s">
        <v>177</v>
      </c>
      <c r="C83" s="18" t="s">
        <v>15</v>
      </c>
      <c r="D83" s="18" t="s">
        <v>11</v>
      </c>
      <c r="E83" s="18" t="s">
        <v>12</v>
      </c>
      <c r="F83" s="18">
        <v>703.52</v>
      </c>
      <c r="G83" s="18">
        <v>246.23</v>
      </c>
      <c r="H83" s="18">
        <v>8</v>
      </c>
    </row>
    <row r="84" spans="1:8" s="1" customFormat="1" ht="36" customHeight="1" x14ac:dyDescent="0.3">
      <c r="A84" s="17" t="s">
        <v>178</v>
      </c>
      <c r="B84" s="18" t="s">
        <v>46</v>
      </c>
      <c r="C84" s="18" t="s">
        <v>10</v>
      </c>
      <c r="D84" s="18" t="s">
        <v>20</v>
      </c>
      <c r="E84" s="18" t="s">
        <v>17</v>
      </c>
      <c r="F84" s="18">
        <v>4852.54</v>
      </c>
      <c r="G84" s="18">
        <v>1164.6099999999999</v>
      </c>
      <c r="H84" s="18">
        <v>11</v>
      </c>
    </row>
    <row r="85" spans="1:8" s="1" customFormat="1" ht="36" customHeight="1" x14ac:dyDescent="0.3">
      <c r="A85" s="17" t="s">
        <v>179</v>
      </c>
      <c r="B85" s="18" t="s">
        <v>180</v>
      </c>
      <c r="C85" s="18" t="s">
        <v>31</v>
      </c>
      <c r="D85" s="18" t="s">
        <v>111</v>
      </c>
      <c r="E85" s="18" t="s">
        <v>17</v>
      </c>
      <c r="F85" s="18">
        <v>13075.72</v>
      </c>
      <c r="G85" s="18">
        <v>2876.66</v>
      </c>
      <c r="H85" s="18">
        <v>14</v>
      </c>
    </row>
    <row r="86" spans="1:8" s="1" customFormat="1" ht="36" customHeight="1" x14ac:dyDescent="0.3">
      <c r="A86" s="17" t="s">
        <v>181</v>
      </c>
      <c r="B86" s="18" t="s">
        <v>96</v>
      </c>
      <c r="C86" s="18" t="s">
        <v>36</v>
      </c>
      <c r="D86" s="18" t="s">
        <v>11</v>
      </c>
      <c r="E86" s="18" t="s">
        <v>12</v>
      </c>
      <c r="F86" s="18">
        <v>632.03</v>
      </c>
      <c r="G86" s="18">
        <v>221.21</v>
      </c>
      <c r="H86" s="18">
        <v>7</v>
      </c>
    </row>
    <row r="87" spans="1:8" s="1" customFormat="1" ht="36" customHeight="1" x14ac:dyDescent="0.3">
      <c r="A87" s="17" t="s">
        <v>182</v>
      </c>
      <c r="B87" s="18" t="s">
        <v>104</v>
      </c>
      <c r="C87" s="18" t="s">
        <v>31</v>
      </c>
      <c r="D87" s="18" t="s">
        <v>44</v>
      </c>
      <c r="E87" s="18" t="s">
        <v>17</v>
      </c>
      <c r="F87" s="18">
        <v>11133.05</v>
      </c>
      <c r="G87" s="18">
        <v>3117.25</v>
      </c>
      <c r="H87" s="18">
        <v>19</v>
      </c>
    </row>
    <row r="88" spans="1:8" s="1" customFormat="1" ht="36" customHeight="1" x14ac:dyDescent="0.3">
      <c r="A88" s="17" t="s">
        <v>183</v>
      </c>
      <c r="B88" s="18" t="s">
        <v>184</v>
      </c>
      <c r="C88" s="18" t="s">
        <v>36</v>
      </c>
      <c r="D88" s="18" t="s">
        <v>11</v>
      </c>
      <c r="E88" s="18" t="s">
        <v>12</v>
      </c>
      <c r="F88" s="18">
        <v>1176.75</v>
      </c>
      <c r="G88" s="18">
        <v>411.86</v>
      </c>
      <c r="H88" s="18">
        <v>15</v>
      </c>
    </row>
    <row r="89" spans="1:8" s="1" customFormat="1" ht="36" customHeight="1" x14ac:dyDescent="0.3">
      <c r="A89" s="17" t="s">
        <v>185</v>
      </c>
      <c r="B89" s="18" t="s">
        <v>186</v>
      </c>
      <c r="C89" s="18" t="s">
        <v>15</v>
      </c>
      <c r="D89" s="18" t="s">
        <v>26</v>
      </c>
      <c r="E89" s="18" t="s">
        <v>12</v>
      </c>
      <c r="F89" s="18">
        <v>43.87</v>
      </c>
      <c r="G89" s="18">
        <v>16.670000000000002</v>
      </c>
      <c r="H89" s="18">
        <v>1</v>
      </c>
    </row>
    <row r="90" spans="1:8" s="1" customFormat="1" ht="36" customHeight="1" x14ac:dyDescent="0.3">
      <c r="A90" s="17" t="s">
        <v>187</v>
      </c>
      <c r="B90" s="18" t="s">
        <v>188</v>
      </c>
      <c r="C90" s="18" t="s">
        <v>10</v>
      </c>
      <c r="D90" s="18" t="s">
        <v>11</v>
      </c>
      <c r="E90" s="18" t="s">
        <v>12</v>
      </c>
      <c r="F90" s="18">
        <v>684.54</v>
      </c>
      <c r="G90" s="18">
        <v>239.59</v>
      </c>
      <c r="H90" s="18">
        <v>9</v>
      </c>
    </row>
    <row r="91" spans="1:8" s="1" customFormat="1" ht="36" customHeight="1" x14ac:dyDescent="0.3">
      <c r="A91" s="17" t="s">
        <v>189</v>
      </c>
      <c r="B91" s="18" t="s">
        <v>136</v>
      </c>
      <c r="C91" s="18" t="s">
        <v>31</v>
      </c>
      <c r="D91" s="18" t="s">
        <v>111</v>
      </c>
      <c r="E91" s="18" t="s">
        <v>17</v>
      </c>
      <c r="F91" s="18">
        <v>2890.47</v>
      </c>
      <c r="G91" s="18">
        <v>635.9</v>
      </c>
      <c r="H91" s="18">
        <v>3</v>
      </c>
    </row>
    <row r="92" spans="1:8" s="1" customFormat="1" ht="36" customHeight="1" x14ac:dyDescent="0.3">
      <c r="A92" s="17" t="s">
        <v>190</v>
      </c>
      <c r="B92" s="18" t="s">
        <v>191</v>
      </c>
      <c r="C92" s="18" t="s">
        <v>36</v>
      </c>
      <c r="D92" s="18" t="s">
        <v>26</v>
      </c>
      <c r="E92" s="18" t="s">
        <v>12</v>
      </c>
      <c r="F92" s="18">
        <v>808.5</v>
      </c>
      <c r="G92" s="18">
        <v>307.23</v>
      </c>
      <c r="H92" s="18">
        <v>15</v>
      </c>
    </row>
    <row r="93" spans="1:8" s="1" customFormat="1" ht="36" customHeight="1" x14ac:dyDescent="0.3">
      <c r="A93" s="17" t="s">
        <v>192</v>
      </c>
      <c r="B93" s="18" t="s">
        <v>193</v>
      </c>
      <c r="C93" s="18" t="s">
        <v>15</v>
      </c>
      <c r="D93" s="18" t="s">
        <v>11</v>
      </c>
      <c r="E93" s="18" t="s">
        <v>12</v>
      </c>
      <c r="F93" s="18">
        <v>548.24</v>
      </c>
      <c r="G93" s="18">
        <v>191.88</v>
      </c>
      <c r="H93" s="18">
        <v>7</v>
      </c>
    </row>
    <row r="94" spans="1:8" s="1" customFormat="1" ht="36" customHeight="1" x14ac:dyDescent="0.3">
      <c r="A94" s="17" t="s">
        <v>194</v>
      </c>
      <c r="B94" s="18" t="s">
        <v>195</v>
      </c>
      <c r="C94" s="18" t="s">
        <v>31</v>
      </c>
      <c r="D94" s="18" t="s">
        <v>49</v>
      </c>
      <c r="E94" s="18" t="s">
        <v>12</v>
      </c>
      <c r="F94" s="18">
        <v>2300.44</v>
      </c>
      <c r="G94" s="18">
        <v>736.14</v>
      </c>
      <c r="H94" s="18">
        <v>17</v>
      </c>
    </row>
    <row r="95" spans="1:8" s="1" customFormat="1" ht="36" customHeight="1" x14ac:dyDescent="0.3">
      <c r="A95" s="17" t="s">
        <v>196</v>
      </c>
      <c r="B95" s="18" t="s">
        <v>197</v>
      </c>
      <c r="C95" s="18" t="s">
        <v>10</v>
      </c>
      <c r="D95" s="18" t="s">
        <v>26</v>
      </c>
      <c r="E95" s="18" t="s">
        <v>12</v>
      </c>
      <c r="F95" s="18">
        <v>1022.4</v>
      </c>
      <c r="G95" s="18">
        <v>388.51</v>
      </c>
      <c r="H95" s="18">
        <v>18</v>
      </c>
    </row>
    <row r="96" spans="1:8" s="1" customFormat="1" ht="36" customHeight="1" x14ac:dyDescent="0.3">
      <c r="A96" s="17" t="s">
        <v>198</v>
      </c>
      <c r="B96" s="18" t="s">
        <v>199</v>
      </c>
      <c r="C96" s="18" t="s">
        <v>31</v>
      </c>
      <c r="D96" s="18" t="s">
        <v>23</v>
      </c>
      <c r="E96" s="18" t="s">
        <v>12</v>
      </c>
      <c r="F96" s="18">
        <v>1089.55</v>
      </c>
      <c r="G96" s="18">
        <v>326.86</v>
      </c>
      <c r="H96" s="18">
        <v>7</v>
      </c>
    </row>
    <row r="97" spans="1:8" s="1" customFormat="1" ht="36" customHeight="1" x14ac:dyDescent="0.3">
      <c r="A97" s="17" t="s">
        <v>200</v>
      </c>
      <c r="B97" s="18" t="s">
        <v>122</v>
      </c>
      <c r="C97" s="18" t="s">
        <v>15</v>
      </c>
      <c r="D97" s="18" t="s">
        <v>23</v>
      </c>
      <c r="E97" s="18" t="s">
        <v>12</v>
      </c>
      <c r="F97" s="18">
        <v>2586.85</v>
      </c>
      <c r="G97" s="18">
        <v>776.05</v>
      </c>
      <c r="H97" s="18">
        <v>19</v>
      </c>
    </row>
    <row r="98" spans="1:8" s="1" customFormat="1" ht="36" customHeight="1" x14ac:dyDescent="0.3">
      <c r="A98" s="17" t="s">
        <v>201</v>
      </c>
      <c r="B98" s="18" t="s">
        <v>35</v>
      </c>
      <c r="C98" s="18" t="s">
        <v>31</v>
      </c>
      <c r="D98" s="18" t="s">
        <v>23</v>
      </c>
      <c r="E98" s="18" t="s">
        <v>12</v>
      </c>
      <c r="F98" s="18">
        <v>1380.87</v>
      </c>
      <c r="G98" s="18">
        <v>414.26</v>
      </c>
      <c r="H98" s="18">
        <v>9</v>
      </c>
    </row>
    <row r="99" spans="1:8" s="1" customFormat="1" ht="36" customHeight="1" x14ac:dyDescent="0.3">
      <c r="A99" s="17" t="s">
        <v>202</v>
      </c>
      <c r="B99" s="18" t="s">
        <v>203</v>
      </c>
      <c r="C99" s="18" t="s">
        <v>10</v>
      </c>
      <c r="D99" s="18" t="s">
        <v>49</v>
      </c>
      <c r="E99" s="18" t="s">
        <v>12</v>
      </c>
      <c r="F99" s="18">
        <v>2187.6799999999998</v>
      </c>
      <c r="G99" s="18">
        <v>700.06</v>
      </c>
      <c r="H99" s="18">
        <v>16</v>
      </c>
    </row>
    <row r="100" spans="1:8" s="1" customFormat="1" ht="36" customHeight="1" x14ac:dyDescent="0.3">
      <c r="A100" s="17" t="s">
        <v>204</v>
      </c>
      <c r="B100" s="18" t="s">
        <v>205</v>
      </c>
      <c r="C100" s="18" t="s">
        <v>10</v>
      </c>
      <c r="D100" s="18" t="s">
        <v>37</v>
      </c>
      <c r="E100" s="18" t="s">
        <v>17</v>
      </c>
      <c r="F100" s="18">
        <v>3553.4</v>
      </c>
      <c r="G100" s="18">
        <v>710.68</v>
      </c>
      <c r="H100" s="18">
        <v>10</v>
      </c>
    </row>
    <row r="101" spans="1:8" s="1" customFormat="1" ht="36" customHeight="1" x14ac:dyDescent="0.3">
      <c r="A101" s="17" t="s">
        <v>206</v>
      </c>
      <c r="B101" s="18" t="s">
        <v>207</v>
      </c>
      <c r="C101" s="18" t="s">
        <v>31</v>
      </c>
      <c r="D101" s="18" t="s">
        <v>40</v>
      </c>
      <c r="E101" s="18" t="s">
        <v>41</v>
      </c>
      <c r="F101" s="18">
        <v>3090.23</v>
      </c>
      <c r="G101" s="18">
        <v>556.24</v>
      </c>
      <c r="H101" s="18">
        <v>13</v>
      </c>
    </row>
    <row r="102" spans="1:8" s="1" customFormat="1" ht="36" customHeight="1" x14ac:dyDescent="0.3">
      <c r="A102" s="17" t="s">
        <v>208</v>
      </c>
      <c r="B102" s="18" t="s">
        <v>96</v>
      </c>
      <c r="C102" s="18" t="s">
        <v>15</v>
      </c>
      <c r="D102" s="18" t="s">
        <v>11</v>
      </c>
      <c r="E102" s="18" t="s">
        <v>12</v>
      </c>
      <c r="F102" s="18">
        <v>1064.7</v>
      </c>
      <c r="G102" s="18">
        <v>372.64</v>
      </c>
      <c r="H102" s="18">
        <v>15</v>
      </c>
    </row>
    <row r="103" spans="1:8" s="1" customFormat="1" ht="36" customHeight="1" x14ac:dyDescent="0.3">
      <c r="A103" s="17" t="s">
        <v>209</v>
      </c>
      <c r="B103" s="18" t="s">
        <v>210</v>
      </c>
      <c r="C103" s="18" t="s">
        <v>31</v>
      </c>
      <c r="D103" s="18" t="s">
        <v>20</v>
      </c>
      <c r="E103" s="18" t="s">
        <v>17</v>
      </c>
      <c r="F103" s="18">
        <v>5258.55</v>
      </c>
      <c r="G103" s="18">
        <v>1262.05</v>
      </c>
      <c r="H103" s="18">
        <v>15</v>
      </c>
    </row>
    <row r="104" spans="1:8" s="1" customFormat="1" ht="36" customHeight="1" x14ac:dyDescent="0.3">
      <c r="A104" s="17" t="s">
        <v>211</v>
      </c>
      <c r="B104" s="18" t="s">
        <v>212</v>
      </c>
      <c r="C104" s="18" t="s">
        <v>10</v>
      </c>
      <c r="D104" s="18" t="s">
        <v>16</v>
      </c>
      <c r="E104" s="18" t="s">
        <v>17</v>
      </c>
      <c r="F104" s="18">
        <v>8165.12</v>
      </c>
      <c r="G104" s="18">
        <v>2041.28</v>
      </c>
      <c r="H104" s="18">
        <v>16</v>
      </c>
    </row>
    <row r="105" spans="1:8" s="1" customFormat="1" ht="36" customHeight="1" x14ac:dyDescent="0.3">
      <c r="A105" s="17" t="s">
        <v>213</v>
      </c>
      <c r="B105" s="18" t="s">
        <v>214</v>
      </c>
      <c r="C105" s="18" t="s">
        <v>36</v>
      </c>
      <c r="D105" s="18" t="s">
        <v>20</v>
      </c>
      <c r="E105" s="18" t="s">
        <v>17</v>
      </c>
      <c r="F105" s="18">
        <v>1292.07</v>
      </c>
      <c r="G105" s="18">
        <v>310.10000000000002</v>
      </c>
      <c r="H105" s="18">
        <v>3</v>
      </c>
    </row>
    <row r="106" spans="1:8" s="1" customFormat="1" ht="36" customHeight="1" x14ac:dyDescent="0.3">
      <c r="A106" s="17" t="s">
        <v>215</v>
      </c>
      <c r="B106" s="18" t="s">
        <v>78</v>
      </c>
      <c r="C106" s="18" t="s">
        <v>15</v>
      </c>
      <c r="D106" s="18" t="s">
        <v>37</v>
      </c>
      <c r="E106" s="18" t="s">
        <v>17</v>
      </c>
      <c r="F106" s="18">
        <v>5225.87</v>
      </c>
      <c r="G106" s="18">
        <v>1045.17</v>
      </c>
      <c r="H106" s="18">
        <v>13</v>
      </c>
    </row>
    <row r="107" spans="1:8" s="1" customFormat="1" ht="36" customHeight="1" x14ac:dyDescent="0.3">
      <c r="A107" s="17" t="s">
        <v>216</v>
      </c>
      <c r="B107" s="18" t="s">
        <v>217</v>
      </c>
      <c r="C107" s="18" t="s">
        <v>31</v>
      </c>
      <c r="D107" s="18" t="s">
        <v>26</v>
      </c>
      <c r="E107" s="18" t="s">
        <v>12</v>
      </c>
      <c r="F107" s="18">
        <v>887.57</v>
      </c>
      <c r="G107" s="18">
        <v>337.28</v>
      </c>
      <c r="H107" s="18">
        <v>17</v>
      </c>
    </row>
    <row r="108" spans="1:8" s="1" customFormat="1" ht="36" customHeight="1" x14ac:dyDescent="0.3">
      <c r="A108" s="17" t="s">
        <v>218</v>
      </c>
      <c r="B108" s="18" t="s">
        <v>219</v>
      </c>
      <c r="C108" s="18" t="s">
        <v>10</v>
      </c>
      <c r="D108" s="18" t="s">
        <v>26</v>
      </c>
      <c r="E108" s="18" t="s">
        <v>12</v>
      </c>
      <c r="F108" s="18">
        <v>450.72</v>
      </c>
      <c r="G108" s="18">
        <v>171.27</v>
      </c>
      <c r="H108" s="18">
        <v>9</v>
      </c>
    </row>
    <row r="109" spans="1:8" s="1" customFormat="1" ht="36" customHeight="1" x14ac:dyDescent="0.3">
      <c r="A109" s="17" t="s">
        <v>220</v>
      </c>
      <c r="B109" s="18" t="s">
        <v>221</v>
      </c>
      <c r="C109" s="18" t="s">
        <v>31</v>
      </c>
      <c r="D109" s="18" t="s">
        <v>111</v>
      </c>
      <c r="E109" s="18" t="s">
        <v>17</v>
      </c>
      <c r="F109" s="18">
        <v>9356.16</v>
      </c>
      <c r="G109" s="18">
        <v>2058.36</v>
      </c>
      <c r="H109" s="18">
        <v>12</v>
      </c>
    </row>
    <row r="110" spans="1:8" s="1" customFormat="1" ht="36" customHeight="1" x14ac:dyDescent="0.3">
      <c r="A110" s="17" t="s">
        <v>222</v>
      </c>
      <c r="B110" s="18" t="s">
        <v>195</v>
      </c>
      <c r="C110" s="18" t="s">
        <v>15</v>
      </c>
      <c r="D110" s="18" t="s">
        <v>111</v>
      </c>
      <c r="E110" s="18" t="s">
        <v>17</v>
      </c>
      <c r="F110" s="18">
        <v>4424.8</v>
      </c>
      <c r="G110" s="18">
        <v>973.46</v>
      </c>
      <c r="H110" s="18">
        <v>5</v>
      </c>
    </row>
    <row r="111" spans="1:8" s="1" customFormat="1" ht="36" customHeight="1" x14ac:dyDescent="0.3">
      <c r="A111" s="17" t="s">
        <v>223</v>
      </c>
      <c r="B111" s="18" t="s">
        <v>224</v>
      </c>
      <c r="C111" s="18" t="s">
        <v>31</v>
      </c>
      <c r="D111" s="18" t="s">
        <v>16</v>
      </c>
      <c r="E111" s="18" t="s">
        <v>17</v>
      </c>
      <c r="F111" s="18">
        <v>3076.44</v>
      </c>
      <c r="G111" s="18">
        <v>769.11</v>
      </c>
      <c r="H111" s="18">
        <v>6</v>
      </c>
    </row>
    <row r="112" spans="1:8" s="1" customFormat="1" ht="36" customHeight="1" x14ac:dyDescent="0.3">
      <c r="A112" s="17" t="s">
        <v>225</v>
      </c>
      <c r="B112" s="18" t="s">
        <v>226</v>
      </c>
      <c r="C112" s="18" t="s">
        <v>31</v>
      </c>
      <c r="D112" s="18" t="s">
        <v>40</v>
      </c>
      <c r="E112" s="18" t="s">
        <v>41</v>
      </c>
      <c r="F112" s="18">
        <v>4309.8</v>
      </c>
      <c r="G112" s="18">
        <v>775.76</v>
      </c>
      <c r="H112" s="18">
        <v>20</v>
      </c>
    </row>
    <row r="113" spans="1:8" s="1" customFormat="1" ht="36" customHeight="1" x14ac:dyDescent="0.3">
      <c r="A113" s="17" t="s">
        <v>227</v>
      </c>
      <c r="B113" s="18" t="s">
        <v>72</v>
      </c>
      <c r="C113" s="18" t="s">
        <v>31</v>
      </c>
      <c r="D113" s="18" t="s">
        <v>44</v>
      </c>
      <c r="E113" s="18" t="s">
        <v>17</v>
      </c>
      <c r="F113" s="18">
        <v>8334.0400000000009</v>
      </c>
      <c r="G113" s="18">
        <v>2333.5300000000002</v>
      </c>
      <c r="H113" s="18">
        <v>13</v>
      </c>
    </row>
    <row r="114" spans="1:8" s="1" customFormat="1" ht="36" customHeight="1" x14ac:dyDescent="0.3">
      <c r="A114" s="17" t="s">
        <v>228</v>
      </c>
      <c r="B114" s="18" t="s">
        <v>229</v>
      </c>
      <c r="C114" s="18" t="s">
        <v>10</v>
      </c>
      <c r="D114" s="18" t="s">
        <v>16</v>
      </c>
      <c r="E114" s="18" t="s">
        <v>17</v>
      </c>
      <c r="F114" s="18">
        <v>6482.28</v>
      </c>
      <c r="G114" s="18">
        <v>1620.57</v>
      </c>
      <c r="H114" s="18">
        <v>14</v>
      </c>
    </row>
    <row r="115" spans="1:8" s="1" customFormat="1" ht="36" customHeight="1" x14ac:dyDescent="0.3">
      <c r="A115" s="17" t="s">
        <v>230</v>
      </c>
      <c r="B115" s="18" t="s">
        <v>48</v>
      </c>
      <c r="C115" s="18" t="s">
        <v>10</v>
      </c>
      <c r="D115" s="18" t="s">
        <v>40</v>
      </c>
      <c r="E115" s="18" t="s">
        <v>41</v>
      </c>
      <c r="F115" s="18">
        <v>569.12</v>
      </c>
      <c r="G115" s="18">
        <v>102.44</v>
      </c>
      <c r="H115" s="18">
        <v>2</v>
      </c>
    </row>
    <row r="116" spans="1:8" s="1" customFormat="1" ht="36" customHeight="1" x14ac:dyDescent="0.3">
      <c r="A116" s="17" t="s">
        <v>231</v>
      </c>
      <c r="B116" s="18" t="s">
        <v>232</v>
      </c>
      <c r="C116" s="18" t="s">
        <v>15</v>
      </c>
      <c r="D116" s="18" t="s">
        <v>40</v>
      </c>
      <c r="E116" s="18" t="s">
        <v>41</v>
      </c>
      <c r="F116" s="18">
        <v>2002.42</v>
      </c>
      <c r="G116" s="18">
        <v>360.44</v>
      </c>
      <c r="H116" s="18">
        <v>7</v>
      </c>
    </row>
    <row r="117" spans="1:8" s="1" customFormat="1" ht="36" customHeight="1" x14ac:dyDescent="0.3">
      <c r="A117" s="17" t="s">
        <v>233</v>
      </c>
      <c r="B117" s="18" t="s">
        <v>234</v>
      </c>
      <c r="C117" s="18" t="s">
        <v>36</v>
      </c>
      <c r="D117" s="18" t="s">
        <v>40</v>
      </c>
      <c r="E117" s="18" t="s">
        <v>41</v>
      </c>
      <c r="F117" s="18">
        <v>1536.99</v>
      </c>
      <c r="G117" s="18">
        <v>276.66000000000003</v>
      </c>
      <c r="H117" s="18">
        <v>7</v>
      </c>
    </row>
    <row r="118" spans="1:8" s="1" customFormat="1" ht="36" customHeight="1" x14ac:dyDescent="0.3">
      <c r="A118" s="17" t="s">
        <v>235</v>
      </c>
      <c r="B118" s="18" t="s">
        <v>236</v>
      </c>
      <c r="C118" s="18" t="s">
        <v>36</v>
      </c>
      <c r="D118" s="18" t="s">
        <v>23</v>
      </c>
      <c r="E118" s="18" t="s">
        <v>12</v>
      </c>
      <c r="F118" s="18">
        <v>737.95</v>
      </c>
      <c r="G118" s="18">
        <v>221.39</v>
      </c>
      <c r="H118" s="18">
        <v>5</v>
      </c>
    </row>
    <row r="119" spans="1:8" s="1" customFormat="1" ht="36" customHeight="1" x14ac:dyDescent="0.3">
      <c r="A119" s="17" t="s">
        <v>237</v>
      </c>
      <c r="B119" s="18" t="s">
        <v>238</v>
      </c>
      <c r="C119" s="18" t="s">
        <v>31</v>
      </c>
      <c r="D119" s="18" t="s">
        <v>44</v>
      </c>
      <c r="E119" s="18" t="s">
        <v>17</v>
      </c>
      <c r="F119" s="18">
        <v>10662.42</v>
      </c>
      <c r="G119" s="18">
        <v>2985.48</v>
      </c>
      <c r="H119" s="18">
        <v>19</v>
      </c>
    </row>
    <row r="120" spans="1:8" s="1" customFormat="1" ht="36" customHeight="1" x14ac:dyDescent="0.3">
      <c r="A120" s="17" t="s">
        <v>239</v>
      </c>
      <c r="B120" s="18" t="s">
        <v>240</v>
      </c>
      <c r="C120" s="18" t="s">
        <v>36</v>
      </c>
      <c r="D120" s="18" t="s">
        <v>44</v>
      </c>
      <c r="E120" s="18" t="s">
        <v>17</v>
      </c>
      <c r="F120" s="18">
        <v>640.04</v>
      </c>
      <c r="G120" s="18">
        <v>179.21</v>
      </c>
      <c r="H120" s="18">
        <v>1</v>
      </c>
    </row>
    <row r="121" spans="1:8" s="1" customFormat="1" ht="36" customHeight="1" x14ac:dyDescent="0.3">
      <c r="A121" s="17" t="s">
        <v>241</v>
      </c>
      <c r="B121" s="18" t="s">
        <v>242</v>
      </c>
      <c r="C121" s="18" t="s">
        <v>31</v>
      </c>
      <c r="D121" s="18" t="s">
        <v>37</v>
      </c>
      <c r="E121" s="18" t="s">
        <v>17</v>
      </c>
      <c r="F121" s="18">
        <v>3735.82</v>
      </c>
      <c r="G121" s="18">
        <v>747.16</v>
      </c>
      <c r="H121" s="18">
        <v>11</v>
      </c>
    </row>
    <row r="122" spans="1:8" s="1" customFormat="1" ht="36" customHeight="1" x14ac:dyDescent="0.3">
      <c r="A122" s="17" t="s">
        <v>243</v>
      </c>
      <c r="B122" s="18" t="s">
        <v>244</v>
      </c>
      <c r="C122" s="18" t="s">
        <v>15</v>
      </c>
      <c r="D122" s="18" t="s">
        <v>23</v>
      </c>
      <c r="E122" s="18" t="s">
        <v>12</v>
      </c>
      <c r="F122" s="18">
        <v>2210.6999999999998</v>
      </c>
      <c r="G122" s="18">
        <v>663.21</v>
      </c>
      <c r="H122" s="18">
        <v>15</v>
      </c>
    </row>
    <row r="123" spans="1:8" s="1" customFormat="1" ht="36" customHeight="1" x14ac:dyDescent="0.3">
      <c r="A123" s="17" t="s">
        <v>245</v>
      </c>
      <c r="B123" s="18" t="s">
        <v>246</v>
      </c>
      <c r="C123" s="18" t="s">
        <v>31</v>
      </c>
      <c r="D123" s="18" t="s">
        <v>49</v>
      </c>
      <c r="E123" s="18" t="s">
        <v>12</v>
      </c>
      <c r="F123" s="18">
        <v>1101.76</v>
      </c>
      <c r="G123" s="18">
        <v>352.56</v>
      </c>
      <c r="H123" s="18">
        <v>8</v>
      </c>
    </row>
    <row r="124" spans="1:8" s="1" customFormat="1" ht="36" customHeight="1" x14ac:dyDescent="0.3">
      <c r="A124" s="17" t="s">
        <v>247</v>
      </c>
      <c r="B124" s="18" t="s">
        <v>248</v>
      </c>
      <c r="C124" s="18" t="s">
        <v>10</v>
      </c>
      <c r="D124" s="18" t="s">
        <v>26</v>
      </c>
      <c r="E124" s="18" t="s">
        <v>12</v>
      </c>
      <c r="F124" s="18">
        <v>420</v>
      </c>
      <c r="G124" s="18">
        <v>159.6</v>
      </c>
      <c r="H124" s="18">
        <v>8</v>
      </c>
    </row>
    <row r="125" spans="1:8" s="1" customFormat="1" ht="36" customHeight="1" x14ac:dyDescent="0.3">
      <c r="A125" s="17" t="s">
        <v>249</v>
      </c>
      <c r="B125" s="18" t="s">
        <v>250</v>
      </c>
      <c r="C125" s="18" t="s">
        <v>15</v>
      </c>
      <c r="D125" s="18" t="s">
        <v>23</v>
      </c>
      <c r="E125" s="18" t="s">
        <v>12</v>
      </c>
      <c r="F125" s="18">
        <v>161.65</v>
      </c>
      <c r="G125" s="18">
        <v>48.49</v>
      </c>
      <c r="H125" s="18">
        <v>1</v>
      </c>
    </row>
    <row r="126" spans="1:8" s="1" customFormat="1" ht="36" customHeight="1" x14ac:dyDescent="0.3">
      <c r="A126" s="17" t="s">
        <v>251</v>
      </c>
      <c r="B126" s="18" t="s">
        <v>9</v>
      </c>
      <c r="C126" s="18" t="s">
        <v>10</v>
      </c>
      <c r="D126" s="18" t="s">
        <v>40</v>
      </c>
      <c r="E126" s="18" t="s">
        <v>41</v>
      </c>
      <c r="F126" s="18">
        <v>3159.94</v>
      </c>
      <c r="G126" s="18">
        <v>568.79</v>
      </c>
      <c r="H126" s="18">
        <v>14</v>
      </c>
    </row>
    <row r="127" spans="1:8" s="1" customFormat="1" ht="36" customHeight="1" x14ac:dyDescent="0.3">
      <c r="A127" s="17" t="s">
        <v>252</v>
      </c>
      <c r="B127" s="18" t="s">
        <v>253</v>
      </c>
      <c r="C127" s="18" t="s">
        <v>31</v>
      </c>
      <c r="D127" s="18" t="s">
        <v>111</v>
      </c>
      <c r="E127" s="18" t="s">
        <v>17</v>
      </c>
      <c r="F127" s="18">
        <v>10896.2</v>
      </c>
      <c r="G127" s="18">
        <v>2397.16</v>
      </c>
      <c r="H127" s="18">
        <v>14</v>
      </c>
    </row>
    <row r="128" spans="1:8" s="1" customFormat="1" ht="36" customHeight="1" x14ac:dyDescent="0.3">
      <c r="A128" s="17" t="s">
        <v>254</v>
      </c>
      <c r="B128" s="18" t="s">
        <v>255</v>
      </c>
      <c r="C128" s="18" t="s">
        <v>10</v>
      </c>
      <c r="D128" s="18" t="s">
        <v>44</v>
      </c>
      <c r="E128" s="18" t="s">
        <v>17</v>
      </c>
      <c r="F128" s="18">
        <v>5673.78</v>
      </c>
      <c r="G128" s="18">
        <v>1588.66</v>
      </c>
      <c r="H128" s="18">
        <v>9</v>
      </c>
    </row>
    <row r="129" spans="1:8" s="1" customFormat="1" ht="36" customHeight="1" x14ac:dyDescent="0.3">
      <c r="A129" s="17" t="s">
        <v>256</v>
      </c>
      <c r="B129" s="18" t="s">
        <v>173</v>
      </c>
      <c r="C129" s="18" t="s">
        <v>10</v>
      </c>
      <c r="D129" s="18" t="s">
        <v>111</v>
      </c>
      <c r="E129" s="18" t="s">
        <v>17</v>
      </c>
      <c r="F129" s="18">
        <v>9737.2999999999993</v>
      </c>
      <c r="G129" s="18">
        <v>2142.21</v>
      </c>
      <c r="H129" s="18">
        <v>10</v>
      </c>
    </row>
    <row r="130" spans="1:8" s="1" customFormat="1" ht="36" customHeight="1" x14ac:dyDescent="0.3">
      <c r="A130" s="17" t="s">
        <v>257</v>
      </c>
      <c r="B130" s="18" t="s">
        <v>258</v>
      </c>
      <c r="C130" s="18" t="s">
        <v>31</v>
      </c>
      <c r="D130" s="18" t="s">
        <v>111</v>
      </c>
      <c r="E130" s="18" t="s">
        <v>17</v>
      </c>
      <c r="F130" s="18">
        <v>16451.46</v>
      </c>
      <c r="G130" s="18">
        <v>3619.32</v>
      </c>
      <c r="H130" s="18">
        <v>18</v>
      </c>
    </row>
    <row r="131" spans="1:8" s="1" customFormat="1" ht="36" customHeight="1" x14ac:dyDescent="0.3">
      <c r="A131" s="17" t="s">
        <v>259</v>
      </c>
      <c r="B131" s="18" t="s">
        <v>260</v>
      </c>
      <c r="C131" s="18" t="s">
        <v>36</v>
      </c>
      <c r="D131" s="18" t="s">
        <v>26</v>
      </c>
      <c r="E131" s="18" t="s">
        <v>12</v>
      </c>
      <c r="F131" s="18">
        <v>837.59</v>
      </c>
      <c r="G131" s="18">
        <v>318.27999999999997</v>
      </c>
      <c r="H131" s="18">
        <v>17</v>
      </c>
    </row>
    <row r="132" spans="1:8" s="1" customFormat="1" ht="36" customHeight="1" x14ac:dyDescent="0.3">
      <c r="A132" s="17" t="s">
        <v>261</v>
      </c>
      <c r="B132" s="18" t="s">
        <v>262</v>
      </c>
      <c r="C132" s="18" t="s">
        <v>15</v>
      </c>
      <c r="D132" s="18" t="s">
        <v>40</v>
      </c>
      <c r="E132" s="18" t="s">
        <v>41</v>
      </c>
      <c r="F132" s="18">
        <v>1709.46</v>
      </c>
      <c r="G132" s="18">
        <v>307.7</v>
      </c>
      <c r="H132" s="18">
        <v>6</v>
      </c>
    </row>
    <row r="133" spans="1:8" s="1" customFormat="1" ht="36" customHeight="1" x14ac:dyDescent="0.3">
      <c r="A133" s="17" t="s">
        <v>263</v>
      </c>
      <c r="B133" s="18" t="s">
        <v>264</v>
      </c>
      <c r="C133" s="18" t="s">
        <v>10</v>
      </c>
      <c r="D133" s="18" t="s">
        <v>40</v>
      </c>
      <c r="E133" s="18" t="s">
        <v>41</v>
      </c>
      <c r="F133" s="18">
        <v>3642.34</v>
      </c>
      <c r="G133" s="18">
        <v>655.62</v>
      </c>
      <c r="H133" s="18">
        <v>13</v>
      </c>
    </row>
    <row r="134" spans="1:8" s="1" customFormat="1" ht="36" customHeight="1" x14ac:dyDescent="0.3">
      <c r="A134" s="17" t="s">
        <v>265</v>
      </c>
      <c r="B134" s="18" t="s">
        <v>266</v>
      </c>
      <c r="C134" s="18" t="s">
        <v>31</v>
      </c>
      <c r="D134" s="18" t="s">
        <v>111</v>
      </c>
      <c r="E134" s="18" t="s">
        <v>17</v>
      </c>
      <c r="F134" s="18">
        <v>12461.82</v>
      </c>
      <c r="G134" s="18">
        <v>2741.6</v>
      </c>
      <c r="H134" s="18">
        <v>14</v>
      </c>
    </row>
    <row r="135" spans="1:8" s="1" customFormat="1" ht="36" customHeight="1" x14ac:dyDescent="0.3">
      <c r="A135" s="17" t="s">
        <v>267</v>
      </c>
      <c r="B135" s="18" t="s">
        <v>106</v>
      </c>
      <c r="C135" s="18" t="s">
        <v>10</v>
      </c>
      <c r="D135" s="18" t="s">
        <v>11</v>
      </c>
      <c r="E135" s="18" t="s">
        <v>12</v>
      </c>
      <c r="F135" s="18">
        <v>546.63</v>
      </c>
      <c r="G135" s="18">
        <v>191.32</v>
      </c>
      <c r="H135" s="18">
        <v>7</v>
      </c>
    </row>
    <row r="136" spans="1:8" s="1" customFormat="1" ht="36" customHeight="1" x14ac:dyDescent="0.3">
      <c r="A136" s="17" t="s">
        <v>268</v>
      </c>
      <c r="B136" s="18" t="s">
        <v>269</v>
      </c>
      <c r="C136" s="18" t="s">
        <v>15</v>
      </c>
      <c r="D136" s="18" t="s">
        <v>37</v>
      </c>
      <c r="E136" s="18" t="s">
        <v>17</v>
      </c>
      <c r="F136" s="18">
        <v>4046.12</v>
      </c>
      <c r="G136" s="18">
        <v>809.22</v>
      </c>
      <c r="H136" s="18">
        <v>13</v>
      </c>
    </row>
    <row r="137" spans="1:8" s="1" customFormat="1" ht="36" customHeight="1" x14ac:dyDescent="0.3">
      <c r="A137" s="17" t="s">
        <v>270</v>
      </c>
      <c r="B137" s="18" t="s">
        <v>271</v>
      </c>
      <c r="C137" s="18" t="s">
        <v>36</v>
      </c>
      <c r="D137" s="18" t="s">
        <v>40</v>
      </c>
      <c r="E137" s="18" t="s">
        <v>41</v>
      </c>
      <c r="F137" s="18">
        <v>2580.39</v>
      </c>
      <c r="G137" s="18">
        <v>464.47</v>
      </c>
      <c r="H137" s="18">
        <v>9</v>
      </c>
    </row>
    <row r="138" spans="1:8" s="1" customFormat="1" ht="36" customHeight="1" x14ac:dyDescent="0.3">
      <c r="A138" s="17" t="s">
        <v>272</v>
      </c>
      <c r="B138" s="18" t="s">
        <v>132</v>
      </c>
      <c r="C138" s="18" t="s">
        <v>15</v>
      </c>
      <c r="D138" s="18" t="s">
        <v>26</v>
      </c>
      <c r="E138" s="18" t="s">
        <v>12</v>
      </c>
      <c r="F138" s="18">
        <v>221.48</v>
      </c>
      <c r="G138" s="18">
        <v>84.16</v>
      </c>
      <c r="H138" s="18">
        <v>4</v>
      </c>
    </row>
    <row r="139" spans="1:8" s="1" customFormat="1" ht="36" customHeight="1" x14ac:dyDescent="0.3">
      <c r="A139" s="17" t="s">
        <v>273</v>
      </c>
      <c r="B139" s="18" t="s">
        <v>274</v>
      </c>
      <c r="C139" s="18" t="s">
        <v>15</v>
      </c>
      <c r="D139" s="18" t="s">
        <v>16</v>
      </c>
      <c r="E139" s="18" t="s">
        <v>17</v>
      </c>
      <c r="F139" s="18">
        <v>4929.3599999999997</v>
      </c>
      <c r="G139" s="18">
        <v>1232.3399999999999</v>
      </c>
      <c r="H139" s="18">
        <v>12</v>
      </c>
    </row>
    <row r="140" spans="1:8" s="1" customFormat="1" ht="36" customHeight="1" x14ac:dyDescent="0.3">
      <c r="A140" s="17" t="s">
        <v>275</v>
      </c>
      <c r="B140" s="18" t="s">
        <v>60</v>
      </c>
      <c r="C140" s="18" t="s">
        <v>10</v>
      </c>
      <c r="D140" s="18" t="s">
        <v>23</v>
      </c>
      <c r="E140" s="18" t="s">
        <v>12</v>
      </c>
      <c r="F140" s="18">
        <v>1857.24</v>
      </c>
      <c r="G140" s="18">
        <v>557.16999999999996</v>
      </c>
      <c r="H140" s="18">
        <v>14</v>
      </c>
    </row>
    <row r="141" spans="1:8" s="1" customFormat="1" ht="36" customHeight="1" x14ac:dyDescent="0.3">
      <c r="A141" s="17" t="s">
        <v>276</v>
      </c>
      <c r="B141" s="18" t="s">
        <v>277</v>
      </c>
      <c r="C141" s="18" t="s">
        <v>36</v>
      </c>
      <c r="D141" s="18" t="s">
        <v>16</v>
      </c>
      <c r="E141" s="18" t="s">
        <v>17</v>
      </c>
      <c r="F141" s="18">
        <v>8599.86</v>
      </c>
      <c r="G141" s="18">
        <v>2149.9699999999998</v>
      </c>
      <c r="H141" s="18">
        <v>18</v>
      </c>
    </row>
    <row r="142" spans="1:8" s="1" customFormat="1" ht="36" customHeight="1" x14ac:dyDescent="0.3">
      <c r="A142" s="17" t="s">
        <v>278</v>
      </c>
      <c r="B142" s="18" t="s">
        <v>106</v>
      </c>
      <c r="C142" s="18" t="s">
        <v>36</v>
      </c>
      <c r="D142" s="18" t="s">
        <v>20</v>
      </c>
      <c r="E142" s="18" t="s">
        <v>17</v>
      </c>
      <c r="F142" s="18">
        <v>813.78</v>
      </c>
      <c r="G142" s="18">
        <v>195.31</v>
      </c>
      <c r="H142" s="18">
        <v>2</v>
      </c>
    </row>
    <row r="143" spans="1:8" s="1" customFormat="1" ht="36" customHeight="1" x14ac:dyDescent="0.3">
      <c r="A143" s="17" t="s">
        <v>279</v>
      </c>
      <c r="B143" s="18" t="s">
        <v>280</v>
      </c>
      <c r="C143" s="18" t="s">
        <v>15</v>
      </c>
      <c r="D143" s="18" t="s">
        <v>49</v>
      </c>
      <c r="E143" s="18" t="s">
        <v>12</v>
      </c>
      <c r="F143" s="18">
        <v>968.4</v>
      </c>
      <c r="G143" s="18">
        <v>309.89</v>
      </c>
      <c r="H143" s="18">
        <v>9</v>
      </c>
    </row>
    <row r="144" spans="1:8" s="1" customFormat="1" ht="36" customHeight="1" x14ac:dyDescent="0.3">
      <c r="A144" s="17" t="s">
        <v>281</v>
      </c>
      <c r="B144" s="18" t="s">
        <v>282</v>
      </c>
      <c r="C144" s="18" t="s">
        <v>15</v>
      </c>
      <c r="D144" s="18" t="s">
        <v>23</v>
      </c>
      <c r="E144" s="18" t="s">
        <v>12</v>
      </c>
      <c r="F144" s="18">
        <v>2438.56</v>
      </c>
      <c r="G144" s="18">
        <v>731.57</v>
      </c>
      <c r="H144" s="18">
        <v>16</v>
      </c>
    </row>
    <row r="145" spans="1:8" s="1" customFormat="1" ht="36" customHeight="1" x14ac:dyDescent="0.3">
      <c r="A145" s="17" t="s">
        <v>283</v>
      </c>
      <c r="B145" s="18" t="s">
        <v>284</v>
      </c>
      <c r="C145" s="18" t="s">
        <v>15</v>
      </c>
      <c r="D145" s="18" t="s">
        <v>111</v>
      </c>
      <c r="E145" s="18" t="s">
        <v>17</v>
      </c>
      <c r="F145" s="18">
        <v>14437.28</v>
      </c>
      <c r="G145" s="18">
        <v>3176.2</v>
      </c>
      <c r="H145" s="18">
        <v>16</v>
      </c>
    </row>
    <row r="146" spans="1:8" s="1" customFormat="1" ht="36" customHeight="1" x14ac:dyDescent="0.3">
      <c r="A146" s="17" t="s">
        <v>285</v>
      </c>
      <c r="B146" s="18" t="s">
        <v>286</v>
      </c>
      <c r="C146" s="18" t="s">
        <v>36</v>
      </c>
      <c r="D146" s="18" t="s">
        <v>23</v>
      </c>
      <c r="E146" s="18" t="s">
        <v>12</v>
      </c>
      <c r="F146" s="18">
        <v>1328.16</v>
      </c>
      <c r="G146" s="18">
        <v>398.45</v>
      </c>
      <c r="H146" s="18">
        <v>8</v>
      </c>
    </row>
    <row r="147" spans="1:8" s="1" customFormat="1" ht="36" customHeight="1" x14ac:dyDescent="0.3">
      <c r="A147" s="17" t="s">
        <v>287</v>
      </c>
      <c r="B147" s="18" t="s">
        <v>35</v>
      </c>
      <c r="C147" s="18" t="s">
        <v>36</v>
      </c>
      <c r="D147" s="18" t="s">
        <v>20</v>
      </c>
      <c r="E147" s="18" t="s">
        <v>17</v>
      </c>
      <c r="F147" s="18">
        <v>4567.42</v>
      </c>
      <c r="G147" s="18">
        <v>1096.18</v>
      </c>
      <c r="H147" s="18">
        <v>11</v>
      </c>
    </row>
    <row r="148" spans="1:8" s="1" customFormat="1" ht="36" customHeight="1" x14ac:dyDescent="0.3">
      <c r="A148" s="17" t="s">
        <v>288</v>
      </c>
      <c r="B148" s="18" t="s">
        <v>117</v>
      </c>
      <c r="C148" s="18" t="s">
        <v>36</v>
      </c>
      <c r="D148" s="18" t="s">
        <v>111</v>
      </c>
      <c r="E148" s="18" t="s">
        <v>17</v>
      </c>
      <c r="F148" s="18">
        <v>19542.2</v>
      </c>
      <c r="G148" s="18">
        <v>4299.28</v>
      </c>
      <c r="H148" s="18">
        <v>20</v>
      </c>
    </row>
    <row r="149" spans="1:8" s="1" customFormat="1" ht="36" customHeight="1" x14ac:dyDescent="0.3">
      <c r="A149" s="17" t="s">
        <v>289</v>
      </c>
      <c r="B149" s="18" t="s">
        <v>290</v>
      </c>
      <c r="C149" s="18" t="s">
        <v>15</v>
      </c>
      <c r="D149" s="18" t="s">
        <v>44</v>
      </c>
      <c r="E149" s="18" t="s">
        <v>17</v>
      </c>
      <c r="F149" s="18">
        <v>10533.37</v>
      </c>
      <c r="G149" s="18">
        <v>2949.34</v>
      </c>
      <c r="H149" s="18">
        <v>17</v>
      </c>
    </row>
    <row r="150" spans="1:8" s="1" customFormat="1" ht="36" customHeight="1" x14ac:dyDescent="0.3">
      <c r="A150" s="17" t="s">
        <v>291</v>
      </c>
      <c r="B150" s="18" t="s">
        <v>292</v>
      </c>
      <c r="C150" s="18" t="s">
        <v>10</v>
      </c>
      <c r="D150" s="18" t="s">
        <v>23</v>
      </c>
      <c r="E150" s="18" t="s">
        <v>12</v>
      </c>
      <c r="F150" s="18">
        <v>1065.44</v>
      </c>
      <c r="G150" s="18">
        <v>319.63</v>
      </c>
      <c r="H150" s="18">
        <v>8</v>
      </c>
    </row>
    <row r="151" spans="1:8" s="1" customFormat="1" ht="36" customHeight="1" x14ac:dyDescent="0.3">
      <c r="A151" s="17" t="s">
        <v>293</v>
      </c>
      <c r="B151" s="18" t="s">
        <v>117</v>
      </c>
      <c r="C151" s="18" t="s">
        <v>36</v>
      </c>
      <c r="D151" s="18" t="s">
        <v>40</v>
      </c>
      <c r="E151" s="18" t="s">
        <v>41</v>
      </c>
      <c r="F151" s="18">
        <v>4314.5200000000004</v>
      </c>
      <c r="G151" s="18">
        <v>776.61</v>
      </c>
      <c r="H151" s="18">
        <v>19</v>
      </c>
    </row>
    <row r="152" spans="1:8" s="1" customFormat="1" ht="36" customHeight="1" x14ac:dyDescent="0.3">
      <c r="A152" s="17" t="s">
        <v>294</v>
      </c>
      <c r="B152" s="18" t="s">
        <v>110</v>
      </c>
      <c r="C152" s="18" t="s">
        <v>36</v>
      </c>
      <c r="D152" s="18" t="s">
        <v>11</v>
      </c>
      <c r="E152" s="18" t="s">
        <v>12</v>
      </c>
      <c r="F152" s="18">
        <v>1509.84</v>
      </c>
      <c r="G152" s="18">
        <v>528.44000000000005</v>
      </c>
      <c r="H152" s="18">
        <v>18</v>
      </c>
    </row>
    <row r="153" spans="1:8" s="1" customFormat="1" ht="36" customHeight="1" x14ac:dyDescent="0.3">
      <c r="A153" s="17" t="s">
        <v>295</v>
      </c>
      <c r="B153" s="18" t="s">
        <v>296</v>
      </c>
      <c r="C153" s="18" t="s">
        <v>10</v>
      </c>
      <c r="D153" s="18" t="s">
        <v>49</v>
      </c>
      <c r="E153" s="18" t="s">
        <v>12</v>
      </c>
      <c r="F153" s="18">
        <v>969.57</v>
      </c>
      <c r="G153" s="18">
        <v>310.26</v>
      </c>
      <c r="H153" s="18">
        <v>9</v>
      </c>
    </row>
    <row r="154" spans="1:8" s="1" customFormat="1" ht="36" customHeight="1" x14ac:dyDescent="0.3">
      <c r="A154" s="17" t="s">
        <v>297</v>
      </c>
      <c r="B154" s="18" t="s">
        <v>298</v>
      </c>
      <c r="C154" s="18" t="s">
        <v>31</v>
      </c>
      <c r="D154" s="18" t="s">
        <v>20</v>
      </c>
      <c r="E154" s="18" t="s">
        <v>17</v>
      </c>
      <c r="F154" s="18">
        <v>5343.39</v>
      </c>
      <c r="G154" s="18">
        <v>1282.4100000000001</v>
      </c>
      <c r="H154" s="18">
        <v>13</v>
      </c>
    </row>
    <row r="155" spans="1:8" s="1" customFormat="1" ht="36" customHeight="1" x14ac:dyDescent="0.3">
      <c r="A155" s="17" t="s">
        <v>299</v>
      </c>
      <c r="B155" s="18" t="s">
        <v>300</v>
      </c>
      <c r="C155" s="18" t="s">
        <v>31</v>
      </c>
      <c r="D155" s="18" t="s">
        <v>20</v>
      </c>
      <c r="E155" s="18" t="s">
        <v>17</v>
      </c>
      <c r="F155" s="18">
        <v>6766.74</v>
      </c>
      <c r="G155" s="18">
        <v>1624.02</v>
      </c>
      <c r="H155" s="18">
        <v>18</v>
      </c>
    </row>
    <row r="156" spans="1:8" s="1" customFormat="1" ht="36" customHeight="1" x14ac:dyDescent="0.3">
      <c r="A156" s="17" t="s">
        <v>301</v>
      </c>
      <c r="B156" s="18" t="s">
        <v>124</v>
      </c>
      <c r="C156" s="18" t="s">
        <v>10</v>
      </c>
      <c r="D156" s="18" t="s">
        <v>44</v>
      </c>
      <c r="E156" s="18" t="s">
        <v>17</v>
      </c>
      <c r="F156" s="18">
        <v>2758.15</v>
      </c>
      <c r="G156" s="18">
        <v>772.28</v>
      </c>
      <c r="H156" s="18">
        <v>5</v>
      </c>
    </row>
    <row r="157" spans="1:8" s="1" customFormat="1" ht="36" customHeight="1" x14ac:dyDescent="0.3">
      <c r="A157" s="17" t="s">
        <v>302</v>
      </c>
      <c r="B157" s="18" t="s">
        <v>60</v>
      </c>
      <c r="C157" s="18" t="s">
        <v>36</v>
      </c>
      <c r="D157" s="18" t="s">
        <v>26</v>
      </c>
      <c r="E157" s="18" t="s">
        <v>12</v>
      </c>
      <c r="F157" s="18">
        <v>165.84</v>
      </c>
      <c r="G157" s="18">
        <v>63.02</v>
      </c>
      <c r="H157" s="18">
        <v>3</v>
      </c>
    </row>
    <row r="158" spans="1:8" s="1" customFormat="1" ht="36" customHeight="1" x14ac:dyDescent="0.3">
      <c r="A158" s="17" t="s">
        <v>303</v>
      </c>
      <c r="B158" s="18" t="s">
        <v>304</v>
      </c>
      <c r="C158" s="18" t="s">
        <v>10</v>
      </c>
      <c r="D158" s="18" t="s">
        <v>20</v>
      </c>
      <c r="E158" s="18" t="s">
        <v>17</v>
      </c>
      <c r="F158" s="18">
        <v>3109.14</v>
      </c>
      <c r="G158" s="18">
        <v>746.19</v>
      </c>
      <c r="H158" s="18">
        <v>9</v>
      </c>
    </row>
    <row r="159" spans="1:8" s="1" customFormat="1" ht="36" customHeight="1" x14ac:dyDescent="0.3">
      <c r="A159" s="17" t="s">
        <v>305</v>
      </c>
      <c r="B159" s="18" t="s">
        <v>306</v>
      </c>
      <c r="C159" s="18" t="s">
        <v>15</v>
      </c>
      <c r="D159" s="18" t="s">
        <v>26</v>
      </c>
      <c r="E159" s="18" t="s">
        <v>12</v>
      </c>
      <c r="F159" s="18">
        <v>213.2</v>
      </c>
      <c r="G159" s="18">
        <v>81.02</v>
      </c>
      <c r="H159" s="18">
        <v>4</v>
      </c>
    </row>
    <row r="160" spans="1:8" s="1" customFormat="1" ht="36" customHeight="1" x14ac:dyDescent="0.3">
      <c r="A160" s="17" t="s">
        <v>307</v>
      </c>
      <c r="B160" s="18" t="s">
        <v>308</v>
      </c>
      <c r="C160" s="18" t="s">
        <v>10</v>
      </c>
      <c r="D160" s="18" t="s">
        <v>20</v>
      </c>
      <c r="E160" s="18" t="s">
        <v>17</v>
      </c>
      <c r="F160" s="18">
        <v>7773.85</v>
      </c>
      <c r="G160" s="18">
        <v>1865.72</v>
      </c>
      <c r="H160" s="18">
        <v>19</v>
      </c>
    </row>
    <row r="161" spans="1:8" s="1" customFormat="1" ht="36" customHeight="1" x14ac:dyDescent="0.3">
      <c r="A161" s="17" t="s">
        <v>114</v>
      </c>
      <c r="B161" s="18" t="s">
        <v>115</v>
      </c>
      <c r="C161" s="18" t="s">
        <v>10</v>
      </c>
      <c r="D161" s="18" t="s">
        <v>40</v>
      </c>
      <c r="E161" s="18" t="s">
        <v>41</v>
      </c>
      <c r="F161" s="18">
        <v>2006.73</v>
      </c>
      <c r="G161" s="18">
        <v>361.21</v>
      </c>
      <c r="H161" s="18">
        <v>9</v>
      </c>
    </row>
    <row r="162" spans="1:8" s="1" customFormat="1" ht="36" customHeight="1" x14ac:dyDescent="0.3">
      <c r="A162" s="17" t="s">
        <v>307</v>
      </c>
      <c r="B162" s="18" t="s">
        <v>308</v>
      </c>
      <c r="C162" s="18" t="s">
        <v>10</v>
      </c>
      <c r="D162" s="18" t="s">
        <v>20</v>
      </c>
      <c r="E162" s="18" t="s">
        <v>17</v>
      </c>
      <c r="F162" s="18">
        <v>7773.85</v>
      </c>
      <c r="G162" s="18">
        <v>1865.72</v>
      </c>
      <c r="H162" s="18">
        <v>19</v>
      </c>
    </row>
    <row r="163" spans="1:8" s="1" customFormat="1" ht="36" customHeight="1" x14ac:dyDescent="0.3">
      <c r="A163" s="17" t="s">
        <v>309</v>
      </c>
      <c r="B163" s="18" t="s">
        <v>28</v>
      </c>
      <c r="C163" s="18" t="s">
        <v>31</v>
      </c>
      <c r="D163" s="18" t="s">
        <v>20</v>
      </c>
      <c r="E163" s="18" t="s">
        <v>17</v>
      </c>
      <c r="F163" s="18">
        <v>7714.09</v>
      </c>
      <c r="G163" s="18">
        <v>1851.38</v>
      </c>
      <c r="H163" s="18">
        <v>17</v>
      </c>
    </row>
    <row r="164" spans="1:8" s="1" customFormat="1" ht="36" customHeight="1" x14ac:dyDescent="0.3">
      <c r="A164" s="17" t="s">
        <v>310</v>
      </c>
      <c r="B164" s="18" t="s">
        <v>311</v>
      </c>
      <c r="C164" s="18" t="s">
        <v>10</v>
      </c>
      <c r="D164" s="18" t="s">
        <v>49</v>
      </c>
      <c r="E164" s="18" t="s">
        <v>12</v>
      </c>
      <c r="F164" s="18">
        <v>226.2</v>
      </c>
      <c r="G164" s="18">
        <v>72.38</v>
      </c>
      <c r="H164" s="18">
        <v>2</v>
      </c>
    </row>
    <row r="165" spans="1:8" s="1" customFormat="1" ht="36" customHeight="1" x14ac:dyDescent="0.3">
      <c r="A165" s="17" t="s">
        <v>312</v>
      </c>
      <c r="B165" s="18" t="s">
        <v>313</v>
      </c>
      <c r="C165" s="18" t="s">
        <v>15</v>
      </c>
      <c r="D165" s="18" t="s">
        <v>40</v>
      </c>
      <c r="E165" s="18" t="s">
        <v>41</v>
      </c>
      <c r="F165" s="18">
        <v>2965.49</v>
      </c>
      <c r="G165" s="18">
        <v>533.79</v>
      </c>
      <c r="H165" s="18">
        <v>11</v>
      </c>
    </row>
    <row r="166" spans="1:8" s="1" customFormat="1" ht="36" customHeight="1" x14ac:dyDescent="0.3">
      <c r="A166" s="17" t="s">
        <v>314</v>
      </c>
      <c r="B166" s="18" t="s">
        <v>315</v>
      </c>
      <c r="C166" s="18" t="s">
        <v>10</v>
      </c>
      <c r="D166" s="18" t="s">
        <v>44</v>
      </c>
      <c r="E166" s="18" t="s">
        <v>17</v>
      </c>
      <c r="F166" s="18">
        <v>4807.68</v>
      </c>
      <c r="G166" s="18">
        <v>1346.15</v>
      </c>
      <c r="H166" s="18">
        <v>8</v>
      </c>
    </row>
    <row r="167" spans="1:8" s="1" customFormat="1" ht="36" customHeight="1" x14ac:dyDescent="0.3">
      <c r="A167" s="17" t="s">
        <v>316</v>
      </c>
      <c r="B167" s="18" t="s">
        <v>317</v>
      </c>
      <c r="C167" s="18" t="s">
        <v>36</v>
      </c>
      <c r="D167" s="18" t="s">
        <v>11</v>
      </c>
      <c r="E167" s="18" t="s">
        <v>12</v>
      </c>
      <c r="F167" s="18">
        <v>720.09</v>
      </c>
      <c r="G167" s="18">
        <v>252.03</v>
      </c>
      <c r="H167" s="18">
        <v>9</v>
      </c>
    </row>
    <row r="168" spans="1:8" s="1" customFormat="1" ht="36" customHeight="1" x14ac:dyDescent="0.3">
      <c r="A168" s="17" t="s">
        <v>318</v>
      </c>
      <c r="B168" s="18" t="s">
        <v>319</v>
      </c>
      <c r="C168" s="18" t="s">
        <v>31</v>
      </c>
      <c r="D168" s="18" t="s">
        <v>111</v>
      </c>
      <c r="E168" s="18" t="s">
        <v>17</v>
      </c>
      <c r="F168" s="18">
        <v>10599.4</v>
      </c>
      <c r="G168" s="18">
        <v>2331.87</v>
      </c>
      <c r="H168" s="18">
        <v>14</v>
      </c>
    </row>
    <row r="169" spans="1:8" s="1" customFormat="1" ht="36" customHeight="1" x14ac:dyDescent="0.3">
      <c r="A169" s="17" t="s">
        <v>320</v>
      </c>
      <c r="B169" s="18" t="s">
        <v>319</v>
      </c>
      <c r="C169" s="18" t="s">
        <v>10</v>
      </c>
      <c r="D169" s="18" t="s">
        <v>44</v>
      </c>
      <c r="E169" s="18" t="s">
        <v>17</v>
      </c>
      <c r="F169" s="18">
        <v>4777.0200000000004</v>
      </c>
      <c r="G169" s="18">
        <v>1337.57</v>
      </c>
      <c r="H169" s="18">
        <v>9</v>
      </c>
    </row>
    <row r="170" spans="1:8" s="1" customFormat="1" ht="36" customHeight="1" x14ac:dyDescent="0.3">
      <c r="A170" s="17" t="s">
        <v>321</v>
      </c>
      <c r="B170" s="18" t="s">
        <v>322</v>
      </c>
      <c r="C170" s="18" t="s">
        <v>36</v>
      </c>
      <c r="D170" s="18" t="s">
        <v>11</v>
      </c>
      <c r="E170" s="18" t="s">
        <v>12</v>
      </c>
      <c r="F170" s="18">
        <v>253.5</v>
      </c>
      <c r="G170" s="18">
        <v>88.72</v>
      </c>
      <c r="H170" s="18">
        <v>3</v>
      </c>
    </row>
    <row r="171" spans="1:8" s="1" customFormat="1" ht="36" customHeight="1" x14ac:dyDescent="0.3">
      <c r="A171" s="17" t="s">
        <v>323</v>
      </c>
      <c r="B171" s="18" t="s">
        <v>324</v>
      </c>
      <c r="C171" s="18" t="s">
        <v>31</v>
      </c>
      <c r="D171" s="18" t="s">
        <v>16</v>
      </c>
      <c r="E171" s="18" t="s">
        <v>17</v>
      </c>
      <c r="F171" s="18">
        <v>3903.12</v>
      </c>
      <c r="G171" s="18">
        <v>975.78</v>
      </c>
      <c r="H171" s="18">
        <v>9</v>
      </c>
    </row>
    <row r="172" spans="1:8" s="1" customFormat="1" ht="36" customHeight="1" x14ac:dyDescent="0.3">
      <c r="A172" s="17" t="s">
        <v>325</v>
      </c>
      <c r="B172" s="18" t="s">
        <v>326</v>
      </c>
      <c r="C172" s="18" t="s">
        <v>36</v>
      </c>
      <c r="D172" s="18" t="s">
        <v>11</v>
      </c>
      <c r="E172" s="18" t="s">
        <v>12</v>
      </c>
      <c r="F172" s="18">
        <v>993.3</v>
      </c>
      <c r="G172" s="18">
        <v>347.65</v>
      </c>
      <c r="H172" s="18">
        <v>11</v>
      </c>
    </row>
    <row r="173" spans="1:8" s="1" customFormat="1" ht="36" customHeight="1" x14ac:dyDescent="0.3">
      <c r="A173" s="17" t="s">
        <v>327</v>
      </c>
      <c r="B173" s="18" t="s">
        <v>328</v>
      </c>
      <c r="C173" s="18" t="s">
        <v>31</v>
      </c>
      <c r="D173" s="18" t="s">
        <v>37</v>
      </c>
      <c r="E173" s="18" t="s">
        <v>17</v>
      </c>
      <c r="F173" s="18">
        <v>3296.81</v>
      </c>
      <c r="G173" s="18">
        <v>659.36</v>
      </c>
      <c r="H173" s="18">
        <v>11</v>
      </c>
    </row>
    <row r="174" spans="1:8" s="1" customFormat="1" ht="36" customHeight="1" x14ac:dyDescent="0.3">
      <c r="A174" s="17" t="s">
        <v>329</v>
      </c>
      <c r="B174" s="18" t="s">
        <v>330</v>
      </c>
      <c r="C174" s="18" t="s">
        <v>15</v>
      </c>
      <c r="D174" s="18" t="s">
        <v>37</v>
      </c>
      <c r="E174" s="18" t="s">
        <v>17</v>
      </c>
      <c r="F174" s="18">
        <v>1975.44</v>
      </c>
      <c r="G174" s="18">
        <v>395.09</v>
      </c>
      <c r="H174" s="18">
        <v>6</v>
      </c>
    </row>
    <row r="175" spans="1:8" s="1" customFormat="1" ht="36" customHeight="1" x14ac:dyDescent="0.3">
      <c r="A175" s="17" t="s">
        <v>331</v>
      </c>
      <c r="B175" s="18" t="s">
        <v>332</v>
      </c>
      <c r="C175" s="18" t="s">
        <v>10</v>
      </c>
      <c r="D175" s="18" t="s">
        <v>49</v>
      </c>
      <c r="E175" s="18" t="s">
        <v>12</v>
      </c>
      <c r="F175" s="18">
        <v>369.96</v>
      </c>
      <c r="G175" s="18">
        <v>118.39</v>
      </c>
      <c r="H175" s="18">
        <v>3</v>
      </c>
    </row>
    <row r="176" spans="1:8" s="1" customFormat="1" ht="36" customHeight="1" x14ac:dyDescent="0.3">
      <c r="A176" s="17" t="s">
        <v>333</v>
      </c>
      <c r="B176" s="18" t="s">
        <v>334</v>
      </c>
      <c r="C176" s="18" t="s">
        <v>10</v>
      </c>
      <c r="D176" s="18" t="s">
        <v>44</v>
      </c>
      <c r="E176" s="18" t="s">
        <v>17</v>
      </c>
      <c r="F176" s="18">
        <v>9481.58</v>
      </c>
      <c r="G176" s="18">
        <v>2654.84</v>
      </c>
      <c r="H176" s="18">
        <v>17</v>
      </c>
    </row>
    <row r="177" spans="1:8" s="1" customFormat="1" ht="36" customHeight="1" x14ac:dyDescent="0.3">
      <c r="A177" s="17" t="s">
        <v>335</v>
      </c>
      <c r="B177" s="18" t="s">
        <v>336</v>
      </c>
      <c r="C177" s="18" t="s">
        <v>31</v>
      </c>
      <c r="D177" s="18" t="s">
        <v>40</v>
      </c>
      <c r="E177" s="18" t="s">
        <v>41</v>
      </c>
      <c r="F177" s="18">
        <v>1249.4000000000001</v>
      </c>
      <c r="G177" s="18">
        <v>224.89</v>
      </c>
      <c r="H177" s="18">
        <v>5</v>
      </c>
    </row>
    <row r="178" spans="1:8" s="1" customFormat="1" ht="36" customHeight="1" x14ac:dyDescent="0.3">
      <c r="A178" s="17" t="s">
        <v>337</v>
      </c>
      <c r="B178" s="18" t="s">
        <v>338</v>
      </c>
      <c r="C178" s="18" t="s">
        <v>36</v>
      </c>
      <c r="D178" s="18" t="s">
        <v>11</v>
      </c>
      <c r="E178" s="18" t="s">
        <v>12</v>
      </c>
      <c r="F178" s="18">
        <v>816.5</v>
      </c>
      <c r="G178" s="18">
        <v>285.77</v>
      </c>
      <c r="H178" s="18">
        <v>10</v>
      </c>
    </row>
    <row r="179" spans="1:8" s="1" customFormat="1" ht="36" customHeight="1" x14ac:dyDescent="0.3">
      <c r="A179" s="17" t="s">
        <v>339</v>
      </c>
      <c r="B179" s="18" t="s">
        <v>340</v>
      </c>
      <c r="C179" s="18" t="s">
        <v>36</v>
      </c>
      <c r="D179" s="18" t="s">
        <v>37</v>
      </c>
      <c r="E179" s="18" t="s">
        <v>17</v>
      </c>
      <c r="F179" s="18">
        <v>7734.4</v>
      </c>
      <c r="G179" s="18">
        <v>1546.88</v>
      </c>
      <c r="H179" s="18">
        <v>20</v>
      </c>
    </row>
    <row r="180" spans="1:8" s="1" customFormat="1" ht="36" customHeight="1" x14ac:dyDescent="0.3">
      <c r="A180" s="17" t="s">
        <v>341</v>
      </c>
      <c r="B180" s="18" t="s">
        <v>342</v>
      </c>
      <c r="C180" s="18" t="s">
        <v>31</v>
      </c>
      <c r="D180" s="18" t="s">
        <v>11</v>
      </c>
      <c r="E180" s="18" t="s">
        <v>12</v>
      </c>
      <c r="F180" s="18">
        <v>566.72</v>
      </c>
      <c r="G180" s="18">
        <v>198.35</v>
      </c>
      <c r="H180" s="18">
        <v>8</v>
      </c>
    </row>
    <row r="181" spans="1:8" s="1" customFormat="1" ht="36" customHeight="1" x14ac:dyDescent="0.3">
      <c r="A181" s="17" t="s">
        <v>343</v>
      </c>
      <c r="B181" s="18" t="s">
        <v>344</v>
      </c>
      <c r="C181" s="18" t="s">
        <v>15</v>
      </c>
      <c r="D181" s="18" t="s">
        <v>49</v>
      </c>
      <c r="E181" s="18" t="s">
        <v>12</v>
      </c>
      <c r="F181" s="18">
        <v>1103.2</v>
      </c>
      <c r="G181" s="18">
        <v>353.02</v>
      </c>
      <c r="H181" s="18">
        <v>8</v>
      </c>
    </row>
    <row r="182" spans="1:8" s="1" customFormat="1" ht="36" customHeight="1" x14ac:dyDescent="0.3">
      <c r="A182" s="17" t="s">
        <v>345</v>
      </c>
      <c r="B182" s="18" t="s">
        <v>30</v>
      </c>
      <c r="C182" s="18" t="s">
        <v>10</v>
      </c>
      <c r="D182" s="18" t="s">
        <v>37</v>
      </c>
      <c r="E182" s="18" t="s">
        <v>17</v>
      </c>
      <c r="F182" s="18">
        <v>2476.67</v>
      </c>
      <c r="G182" s="18">
        <v>495.33</v>
      </c>
      <c r="H182" s="18">
        <v>7</v>
      </c>
    </row>
    <row r="183" spans="1:8" s="1" customFormat="1" ht="36" customHeight="1" x14ac:dyDescent="0.3">
      <c r="A183" s="17" t="s">
        <v>227</v>
      </c>
      <c r="B183" s="18" t="s">
        <v>72</v>
      </c>
      <c r="C183" s="18" t="s">
        <v>31</v>
      </c>
      <c r="D183" s="18" t="s">
        <v>44</v>
      </c>
      <c r="E183" s="18" t="s">
        <v>17</v>
      </c>
      <c r="F183" s="18">
        <v>8334.0400000000009</v>
      </c>
      <c r="G183" s="18">
        <v>2333.5300000000002</v>
      </c>
      <c r="H183" s="18">
        <v>13</v>
      </c>
    </row>
    <row r="184" spans="1:8" s="1" customFormat="1" ht="36" customHeight="1" x14ac:dyDescent="0.3">
      <c r="A184" s="17" t="s">
        <v>346</v>
      </c>
      <c r="B184" s="18" t="s">
        <v>102</v>
      </c>
      <c r="C184" s="18" t="s">
        <v>31</v>
      </c>
      <c r="D184" s="18" t="s">
        <v>40</v>
      </c>
      <c r="E184" s="18" t="s">
        <v>41</v>
      </c>
      <c r="F184" s="18">
        <v>522.82000000000005</v>
      </c>
      <c r="G184" s="18">
        <v>94.11</v>
      </c>
      <c r="H184" s="18">
        <v>2</v>
      </c>
    </row>
    <row r="185" spans="1:8" s="1" customFormat="1" ht="36" customHeight="1" x14ac:dyDescent="0.3">
      <c r="A185" s="17" t="s">
        <v>347</v>
      </c>
      <c r="B185" s="18" t="s">
        <v>348</v>
      </c>
      <c r="C185" s="18" t="s">
        <v>36</v>
      </c>
      <c r="D185" s="18" t="s">
        <v>49</v>
      </c>
      <c r="E185" s="18" t="s">
        <v>12</v>
      </c>
      <c r="F185" s="18">
        <v>1258.5</v>
      </c>
      <c r="G185" s="18">
        <v>402.72</v>
      </c>
      <c r="H185" s="18">
        <v>10</v>
      </c>
    </row>
    <row r="186" spans="1:8" s="1" customFormat="1" ht="36" customHeight="1" x14ac:dyDescent="0.3">
      <c r="A186" s="17" t="s">
        <v>349</v>
      </c>
      <c r="B186" s="18" t="s">
        <v>350</v>
      </c>
      <c r="C186" s="18" t="s">
        <v>15</v>
      </c>
      <c r="D186" s="18" t="s">
        <v>49</v>
      </c>
      <c r="E186" s="18" t="s">
        <v>12</v>
      </c>
      <c r="F186" s="18">
        <v>1527.6</v>
      </c>
      <c r="G186" s="18">
        <v>488.83</v>
      </c>
      <c r="H186" s="18">
        <v>12</v>
      </c>
    </row>
    <row r="187" spans="1:8" s="1" customFormat="1" ht="36" customHeight="1" x14ac:dyDescent="0.3">
      <c r="A187" s="17" t="s">
        <v>351</v>
      </c>
      <c r="B187" s="18" t="s">
        <v>352</v>
      </c>
      <c r="C187" s="18" t="s">
        <v>15</v>
      </c>
      <c r="D187" s="18" t="s">
        <v>40</v>
      </c>
      <c r="E187" s="18" t="s">
        <v>41</v>
      </c>
      <c r="F187" s="18">
        <v>2203.92</v>
      </c>
      <c r="G187" s="18">
        <v>396.71</v>
      </c>
      <c r="H187" s="18">
        <v>8</v>
      </c>
    </row>
    <row r="188" spans="1:8" s="1" customFormat="1" ht="36" customHeight="1" x14ac:dyDescent="0.3">
      <c r="A188" s="17" t="s">
        <v>353</v>
      </c>
      <c r="B188" s="18" t="s">
        <v>354</v>
      </c>
      <c r="C188" s="18" t="s">
        <v>36</v>
      </c>
      <c r="D188" s="18" t="s">
        <v>11</v>
      </c>
      <c r="E188" s="18" t="s">
        <v>12</v>
      </c>
      <c r="F188" s="18">
        <v>688.08</v>
      </c>
      <c r="G188" s="18">
        <v>240.83</v>
      </c>
      <c r="H188" s="18">
        <v>8</v>
      </c>
    </row>
    <row r="189" spans="1:8" s="1" customFormat="1" ht="36" customHeight="1" x14ac:dyDescent="0.3">
      <c r="A189" s="17" t="s">
        <v>355</v>
      </c>
      <c r="B189" s="18" t="s">
        <v>356</v>
      </c>
      <c r="C189" s="18" t="s">
        <v>10</v>
      </c>
      <c r="D189" s="18" t="s">
        <v>44</v>
      </c>
      <c r="E189" s="18" t="s">
        <v>17</v>
      </c>
      <c r="F189" s="18">
        <v>6735.6</v>
      </c>
      <c r="G189" s="18">
        <v>1885.97</v>
      </c>
      <c r="H189" s="18">
        <v>12</v>
      </c>
    </row>
    <row r="190" spans="1:8" s="1" customFormat="1" ht="36" customHeight="1" x14ac:dyDescent="0.3">
      <c r="A190" s="17" t="s">
        <v>357</v>
      </c>
      <c r="B190" s="18" t="s">
        <v>258</v>
      </c>
      <c r="C190" s="18" t="s">
        <v>10</v>
      </c>
      <c r="D190" s="18" t="s">
        <v>37</v>
      </c>
      <c r="E190" s="18" t="s">
        <v>17</v>
      </c>
      <c r="F190" s="18">
        <v>304.95</v>
      </c>
      <c r="G190" s="18">
        <v>60.99</v>
      </c>
      <c r="H190" s="18">
        <v>1</v>
      </c>
    </row>
    <row r="191" spans="1:8" s="1" customFormat="1" ht="36" customHeight="1" x14ac:dyDescent="0.3">
      <c r="A191" s="17" t="s">
        <v>358</v>
      </c>
      <c r="B191" s="18" t="s">
        <v>255</v>
      </c>
      <c r="C191" s="18" t="s">
        <v>36</v>
      </c>
      <c r="D191" s="18" t="s">
        <v>20</v>
      </c>
      <c r="E191" s="18" t="s">
        <v>17</v>
      </c>
      <c r="F191" s="18">
        <v>4864.58</v>
      </c>
      <c r="G191" s="18">
        <v>1167.5</v>
      </c>
      <c r="H191" s="18">
        <v>14</v>
      </c>
    </row>
    <row r="192" spans="1:8" s="1" customFormat="1" ht="36" customHeight="1" x14ac:dyDescent="0.3">
      <c r="A192" s="17" t="s">
        <v>359</v>
      </c>
      <c r="B192" s="18" t="s">
        <v>360</v>
      </c>
      <c r="C192" s="18" t="s">
        <v>15</v>
      </c>
      <c r="D192" s="18" t="s">
        <v>20</v>
      </c>
      <c r="E192" s="18" t="s">
        <v>17</v>
      </c>
      <c r="F192" s="18">
        <v>1314.63</v>
      </c>
      <c r="G192" s="18">
        <v>315.51</v>
      </c>
      <c r="H192" s="18">
        <v>3</v>
      </c>
    </row>
    <row r="193" spans="1:8" s="1" customFormat="1" ht="36" customHeight="1" x14ac:dyDescent="0.3">
      <c r="A193" s="17" t="s">
        <v>361</v>
      </c>
      <c r="B193" s="18" t="s">
        <v>155</v>
      </c>
      <c r="C193" s="18" t="s">
        <v>15</v>
      </c>
      <c r="D193" s="18" t="s">
        <v>16</v>
      </c>
      <c r="E193" s="18" t="s">
        <v>17</v>
      </c>
      <c r="F193" s="18">
        <v>5934.11</v>
      </c>
      <c r="G193" s="18">
        <v>1483.53</v>
      </c>
      <c r="H193" s="18">
        <v>13</v>
      </c>
    </row>
    <row r="194" spans="1:8" s="1" customFormat="1" ht="36" customHeight="1" x14ac:dyDescent="0.3">
      <c r="A194" s="17" t="s">
        <v>362</v>
      </c>
      <c r="B194" s="18" t="s">
        <v>363</v>
      </c>
      <c r="C194" s="18" t="s">
        <v>36</v>
      </c>
      <c r="D194" s="18" t="s">
        <v>20</v>
      </c>
      <c r="E194" s="18" t="s">
        <v>17</v>
      </c>
      <c r="F194" s="18">
        <v>8598.7999999999993</v>
      </c>
      <c r="G194" s="18">
        <v>2063.71</v>
      </c>
      <c r="H194" s="18">
        <v>20</v>
      </c>
    </row>
    <row r="195" spans="1:8" s="1" customFormat="1" ht="36" customHeight="1" x14ac:dyDescent="0.3">
      <c r="A195" s="17" t="s">
        <v>270</v>
      </c>
      <c r="B195" s="18" t="s">
        <v>271</v>
      </c>
      <c r="C195" s="18" t="s">
        <v>36</v>
      </c>
      <c r="D195" s="18" t="s">
        <v>40</v>
      </c>
      <c r="E195" s="18" t="s">
        <v>41</v>
      </c>
      <c r="F195" s="18">
        <v>2580.39</v>
      </c>
      <c r="G195" s="18">
        <v>464.47</v>
      </c>
      <c r="H195" s="18">
        <v>9</v>
      </c>
    </row>
    <row r="196" spans="1:8" s="1" customFormat="1" ht="36" customHeight="1" x14ac:dyDescent="0.3">
      <c r="A196" s="17" t="s">
        <v>364</v>
      </c>
      <c r="B196" s="18" t="s">
        <v>365</v>
      </c>
      <c r="C196" s="18" t="s">
        <v>15</v>
      </c>
      <c r="D196" s="18" t="s">
        <v>16</v>
      </c>
      <c r="E196" s="18" t="s">
        <v>17</v>
      </c>
      <c r="F196" s="18">
        <v>794.26</v>
      </c>
      <c r="G196" s="18">
        <v>198.56</v>
      </c>
      <c r="H196" s="18">
        <v>2</v>
      </c>
    </row>
    <row r="197" spans="1:8" s="1" customFormat="1" ht="36" customHeight="1" x14ac:dyDescent="0.3">
      <c r="A197" s="17" t="s">
        <v>366</v>
      </c>
      <c r="B197" s="18" t="s">
        <v>367</v>
      </c>
      <c r="C197" s="18" t="s">
        <v>36</v>
      </c>
      <c r="D197" s="18" t="s">
        <v>44</v>
      </c>
      <c r="E197" s="18" t="s">
        <v>17</v>
      </c>
      <c r="F197" s="18">
        <v>5324.49</v>
      </c>
      <c r="G197" s="18">
        <v>1490.86</v>
      </c>
      <c r="H197" s="18">
        <v>9</v>
      </c>
    </row>
    <row r="198" spans="1:8" s="1" customFormat="1" ht="36" customHeight="1" x14ac:dyDescent="0.3">
      <c r="A198" s="17" t="s">
        <v>368</v>
      </c>
      <c r="B198" s="18" t="s">
        <v>350</v>
      </c>
      <c r="C198" s="18" t="s">
        <v>15</v>
      </c>
      <c r="D198" s="18" t="s">
        <v>23</v>
      </c>
      <c r="E198" s="18" t="s">
        <v>12</v>
      </c>
      <c r="F198" s="18">
        <v>320.68</v>
      </c>
      <c r="G198" s="18">
        <v>96.2</v>
      </c>
      <c r="H198" s="18">
        <v>2</v>
      </c>
    </row>
    <row r="199" spans="1:8" s="1" customFormat="1" ht="36" customHeight="1" x14ac:dyDescent="0.3">
      <c r="A199" s="17" t="s">
        <v>369</v>
      </c>
      <c r="B199" s="18" t="s">
        <v>370</v>
      </c>
      <c r="C199" s="18" t="s">
        <v>10</v>
      </c>
      <c r="D199" s="18" t="s">
        <v>16</v>
      </c>
      <c r="E199" s="18" t="s">
        <v>17</v>
      </c>
      <c r="F199" s="18">
        <v>5401.9</v>
      </c>
      <c r="G199" s="18">
        <v>1350.47</v>
      </c>
      <c r="H199" s="18">
        <v>14</v>
      </c>
    </row>
    <row r="200" spans="1:8" s="1" customFormat="1" ht="36" customHeight="1" x14ac:dyDescent="0.3">
      <c r="A200" s="17" t="s">
        <v>371</v>
      </c>
      <c r="B200" s="18" t="s">
        <v>193</v>
      </c>
      <c r="C200" s="18" t="s">
        <v>36</v>
      </c>
      <c r="D200" s="18" t="s">
        <v>20</v>
      </c>
      <c r="E200" s="18" t="s">
        <v>17</v>
      </c>
      <c r="F200" s="18">
        <v>4851</v>
      </c>
      <c r="G200" s="18">
        <v>1164.24</v>
      </c>
      <c r="H200" s="18">
        <v>14</v>
      </c>
    </row>
    <row r="201" spans="1:8" s="1" customFormat="1" ht="36" customHeight="1" x14ac:dyDescent="0.3">
      <c r="A201" s="17" t="s">
        <v>372</v>
      </c>
      <c r="B201" s="18" t="s">
        <v>373</v>
      </c>
      <c r="C201" s="18" t="s">
        <v>15</v>
      </c>
      <c r="D201" s="18" t="s">
        <v>49</v>
      </c>
      <c r="E201" s="18" t="s">
        <v>12</v>
      </c>
      <c r="F201" s="18">
        <v>1635.2</v>
      </c>
      <c r="G201" s="18">
        <v>523.26</v>
      </c>
      <c r="H201" s="18">
        <v>14</v>
      </c>
    </row>
    <row r="202" spans="1:8" s="1" customFormat="1" ht="36" customHeight="1" x14ac:dyDescent="0.3">
      <c r="A202" s="17" t="s">
        <v>374</v>
      </c>
      <c r="B202" s="18" t="s">
        <v>375</v>
      </c>
      <c r="C202" s="18" t="s">
        <v>10</v>
      </c>
      <c r="D202" s="18" t="s">
        <v>20</v>
      </c>
      <c r="E202" s="18" t="s">
        <v>17</v>
      </c>
      <c r="F202" s="18">
        <v>5861.28</v>
      </c>
      <c r="G202" s="18">
        <v>1406.71</v>
      </c>
      <c r="H202" s="18">
        <v>16</v>
      </c>
    </row>
    <row r="203" spans="1:8" s="1" customFormat="1" ht="36" customHeight="1" x14ac:dyDescent="0.3">
      <c r="A203" s="17"/>
      <c r="B203" s="18"/>
      <c r="C203" s="18"/>
      <c r="D203" s="18"/>
      <c r="E203" s="18"/>
      <c r="F203" s="18"/>
      <c r="G203" s="18"/>
      <c r="H203" s="18"/>
    </row>
    <row r="204" spans="1:8" s="1" customFormat="1" ht="36" customHeight="1" x14ac:dyDescent="0.3">
      <c r="A204" s="17" t="s">
        <v>376</v>
      </c>
      <c r="B204" s="18" t="s">
        <v>377</v>
      </c>
      <c r="C204" s="18" t="s">
        <v>31</v>
      </c>
      <c r="D204" s="18" t="s">
        <v>40</v>
      </c>
      <c r="E204" s="18" t="s">
        <v>41</v>
      </c>
      <c r="F204" s="18">
        <v>285.49</v>
      </c>
      <c r="G204" s="18">
        <v>51.39</v>
      </c>
      <c r="H204" s="18">
        <v>1</v>
      </c>
    </row>
    <row r="205" spans="1:8" s="1" customFormat="1" ht="36" customHeight="1" x14ac:dyDescent="0.3">
      <c r="A205" s="17" t="s">
        <v>378</v>
      </c>
      <c r="B205" s="18" t="s">
        <v>266</v>
      </c>
      <c r="C205" s="18" t="s">
        <v>15</v>
      </c>
      <c r="D205" s="18" t="s">
        <v>40</v>
      </c>
      <c r="E205" s="18" t="s">
        <v>41</v>
      </c>
      <c r="F205" s="18">
        <v>459.72</v>
      </c>
      <c r="G205" s="18">
        <v>82.75</v>
      </c>
      <c r="H205" s="18">
        <v>2</v>
      </c>
    </row>
    <row r="206" spans="1:8" s="1" customFormat="1" ht="36" customHeight="1" x14ac:dyDescent="0.3">
      <c r="A206" s="17" t="s">
        <v>379</v>
      </c>
      <c r="B206" s="18" t="s">
        <v>380</v>
      </c>
      <c r="C206" s="18" t="s">
        <v>15</v>
      </c>
      <c r="D206" s="18" t="s">
        <v>20</v>
      </c>
      <c r="E206" s="18" t="s">
        <v>17</v>
      </c>
      <c r="F206" s="18">
        <v>1779.6</v>
      </c>
      <c r="G206" s="18">
        <v>427.1</v>
      </c>
      <c r="H206" s="18">
        <v>4</v>
      </c>
    </row>
    <row r="207" spans="1:8" s="1" customFormat="1" ht="36" customHeight="1" x14ac:dyDescent="0.3">
      <c r="A207" s="17" t="s">
        <v>381</v>
      </c>
      <c r="B207" s="18" t="s">
        <v>382</v>
      </c>
      <c r="C207" s="18" t="s">
        <v>31</v>
      </c>
      <c r="D207" s="18" t="s">
        <v>26</v>
      </c>
      <c r="E207" s="18" t="s">
        <v>12</v>
      </c>
      <c r="F207" s="18">
        <v>490.2</v>
      </c>
      <c r="G207" s="18">
        <v>186.28</v>
      </c>
      <c r="H207" s="18">
        <v>10</v>
      </c>
    </row>
    <row r="208" spans="1:8" s="1" customFormat="1" ht="36" customHeight="1" x14ac:dyDescent="0.3">
      <c r="A208" s="17" t="s">
        <v>383</v>
      </c>
      <c r="B208" s="18" t="s">
        <v>384</v>
      </c>
      <c r="C208" s="18" t="s">
        <v>31</v>
      </c>
      <c r="D208" s="18" t="s">
        <v>49</v>
      </c>
      <c r="E208" s="18" t="s">
        <v>12</v>
      </c>
      <c r="F208" s="18">
        <v>2198.11</v>
      </c>
      <c r="G208" s="18">
        <v>703.4</v>
      </c>
      <c r="H208" s="18">
        <v>19</v>
      </c>
    </row>
    <row r="209" spans="1:8" s="1" customFormat="1" ht="36" customHeight="1" x14ac:dyDescent="0.3">
      <c r="A209" s="17" t="s">
        <v>385</v>
      </c>
      <c r="B209" s="18" t="s">
        <v>386</v>
      </c>
      <c r="C209" s="18" t="s">
        <v>36</v>
      </c>
      <c r="D209" s="18" t="s">
        <v>49</v>
      </c>
      <c r="E209" s="18" t="s">
        <v>12</v>
      </c>
      <c r="F209" s="18">
        <v>1887.85</v>
      </c>
      <c r="G209" s="18">
        <v>604.11</v>
      </c>
      <c r="H209" s="18">
        <v>17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EFAC-5DA2-4ED9-BFA1-3425B07B2F12}">
  <sheetPr>
    <tabColor rgb="FFFFC000"/>
  </sheetPr>
  <dimension ref="A1:K201"/>
  <sheetViews>
    <sheetView zoomScale="47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E1" sqref="E1:E1048576"/>
    </sheetView>
  </sheetViews>
  <sheetFormatPr defaultRowHeight="14.4" x14ac:dyDescent="0.3"/>
  <cols>
    <col min="1" max="1" width="27.44140625" customWidth="1"/>
    <col min="2" max="2" width="38.33203125" customWidth="1"/>
    <col min="3" max="9" width="27.44140625" customWidth="1"/>
    <col min="10" max="10" width="37.6640625" customWidth="1"/>
    <col min="11" max="11" width="27.44140625" customWidth="1"/>
  </cols>
  <sheetData>
    <row r="1" spans="1:11" ht="36.6" customHeight="1" x14ac:dyDescent="0.3">
      <c r="A1" s="23" t="s">
        <v>0</v>
      </c>
      <c r="B1" s="23" t="s">
        <v>1</v>
      </c>
      <c r="C1" s="23" t="s">
        <v>392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387</v>
      </c>
      <c r="K1" s="25" t="s">
        <v>388</v>
      </c>
    </row>
    <row r="2" spans="1:11" ht="36.6" hidden="1" customHeight="1" x14ac:dyDescent="0.3">
      <c r="A2" s="6" t="s">
        <v>8</v>
      </c>
      <c r="B2" s="7">
        <v>45477</v>
      </c>
      <c r="C2" s="9" t="str">
        <f>TEXT(Table1[[#This Row],[Order_Date]],"MMM-YYYY")</f>
        <v>Jul-2024</v>
      </c>
      <c r="D2" s="9" t="s">
        <v>10</v>
      </c>
      <c r="E2" s="9" t="s">
        <v>11</v>
      </c>
      <c r="F2" s="9" t="s">
        <v>12</v>
      </c>
      <c r="G2" s="10">
        <v>147.56</v>
      </c>
      <c r="H2" s="10">
        <v>51.65</v>
      </c>
      <c r="I2" s="9">
        <v>2</v>
      </c>
      <c r="J2" s="11">
        <f>H2/G2</f>
        <v>0.35002710761724043</v>
      </c>
      <c r="K2" s="20">
        <f>I2*G2</f>
        <v>295.12</v>
      </c>
    </row>
    <row r="3" spans="1:11" ht="36.6" hidden="1" customHeight="1" x14ac:dyDescent="0.3">
      <c r="A3" s="6" t="s">
        <v>13</v>
      </c>
      <c r="B3" s="7">
        <v>45478</v>
      </c>
      <c r="C3" s="8" t="str">
        <f>TEXT(Table1[[#This Row],[Order_Date]],"MMM-YYYY")</f>
        <v>Jul-2024</v>
      </c>
      <c r="D3" s="9" t="s">
        <v>15</v>
      </c>
      <c r="E3" s="9" t="s">
        <v>16</v>
      </c>
      <c r="F3" s="9" t="s">
        <v>17</v>
      </c>
      <c r="G3" s="10">
        <v>1960.7</v>
      </c>
      <c r="H3" s="10">
        <v>490.18</v>
      </c>
      <c r="I3" s="9">
        <v>5</v>
      </c>
      <c r="J3" s="11">
        <f t="shared" ref="J3:J66" si="0">H3/G3</f>
        <v>0.25000255010965472</v>
      </c>
      <c r="K3" s="20">
        <f t="shared" ref="K3:K66" si="1">I3*G3</f>
        <v>9803.5</v>
      </c>
    </row>
    <row r="4" spans="1:11" ht="36.6" customHeight="1" x14ac:dyDescent="0.3">
      <c r="A4" s="24" t="s">
        <v>18</v>
      </c>
      <c r="B4" s="7">
        <v>45479</v>
      </c>
      <c r="C4" s="8" t="str">
        <f>TEXT(Table1[[#This Row],[Order_Date]],"MMM-YYYY")</f>
        <v>Jul-2024</v>
      </c>
      <c r="D4" s="9" t="s">
        <v>15</v>
      </c>
      <c r="E4" s="9" t="s">
        <v>20</v>
      </c>
      <c r="F4" s="9" t="s">
        <v>17</v>
      </c>
      <c r="G4" s="10">
        <v>3280.59</v>
      </c>
      <c r="H4" s="10">
        <v>787.34</v>
      </c>
      <c r="I4" s="9">
        <v>9</v>
      </c>
      <c r="J4" s="11">
        <f t="shared" si="0"/>
        <v>0.23999951228285155</v>
      </c>
      <c r="K4" s="20">
        <f t="shared" si="1"/>
        <v>29525.31</v>
      </c>
    </row>
    <row r="5" spans="1:11" ht="36.6" hidden="1" customHeight="1" x14ac:dyDescent="0.3">
      <c r="A5" s="6" t="s">
        <v>21</v>
      </c>
      <c r="B5" s="7">
        <v>45480</v>
      </c>
      <c r="C5" s="8" t="str">
        <f>TEXT(Table1[[#This Row],[Order_Date]],"MMM-YYYY")</f>
        <v>Jul-2024</v>
      </c>
      <c r="D5" s="9" t="s">
        <v>10</v>
      </c>
      <c r="E5" s="9" t="s">
        <v>23</v>
      </c>
      <c r="F5" s="9" t="s">
        <v>12</v>
      </c>
      <c r="G5" s="10">
        <v>2458.54</v>
      </c>
      <c r="H5" s="10">
        <v>737.56</v>
      </c>
      <c r="I5" s="9">
        <v>17</v>
      </c>
      <c r="J5" s="11">
        <f t="shared" si="0"/>
        <v>0.29999918650906632</v>
      </c>
      <c r="K5" s="20">
        <f t="shared" si="1"/>
        <v>41795.18</v>
      </c>
    </row>
    <row r="6" spans="1:11" ht="36.6" hidden="1" customHeight="1" x14ac:dyDescent="0.3">
      <c r="A6" s="6" t="s">
        <v>24</v>
      </c>
      <c r="B6" s="7">
        <v>45481</v>
      </c>
      <c r="C6" s="8" t="str">
        <f>TEXT(Table1[[#This Row],[Order_Date]],"MMM-YYYY")</f>
        <v>Jul-2024</v>
      </c>
      <c r="D6" s="9" t="s">
        <v>15</v>
      </c>
      <c r="E6" s="9" t="s">
        <v>26</v>
      </c>
      <c r="F6" s="9" t="s">
        <v>12</v>
      </c>
      <c r="G6" s="10">
        <v>718.9</v>
      </c>
      <c r="H6" s="10">
        <v>273.18</v>
      </c>
      <c r="I6" s="9">
        <v>13</v>
      </c>
      <c r="J6" s="11">
        <f t="shared" si="0"/>
        <v>0.37999721797190156</v>
      </c>
      <c r="K6" s="20">
        <f t="shared" si="1"/>
        <v>9345.6999999999989</v>
      </c>
    </row>
    <row r="7" spans="1:11" ht="36.6" hidden="1" customHeight="1" x14ac:dyDescent="0.3">
      <c r="A7" s="6" t="s">
        <v>27</v>
      </c>
      <c r="B7" s="7">
        <v>45482</v>
      </c>
      <c r="C7" s="8" t="str">
        <f>TEXT(Table1[[#This Row],[Order_Date]],"MMM-YYYY")</f>
        <v>Jul-2024</v>
      </c>
      <c r="D7" s="9" t="s">
        <v>15</v>
      </c>
      <c r="E7" s="9" t="s">
        <v>23</v>
      </c>
      <c r="F7" s="9" t="s">
        <v>12</v>
      </c>
      <c r="G7" s="10">
        <v>659.88</v>
      </c>
      <c r="H7" s="10">
        <v>197.96</v>
      </c>
      <c r="I7" s="9">
        <v>4</v>
      </c>
      <c r="J7" s="11">
        <f t="shared" si="0"/>
        <v>0.29999393829181065</v>
      </c>
      <c r="K7" s="20">
        <f t="shared" si="1"/>
        <v>2639.52</v>
      </c>
    </row>
    <row r="8" spans="1:11" ht="36.6" hidden="1" customHeight="1" x14ac:dyDescent="0.3">
      <c r="A8" s="6" t="s">
        <v>29</v>
      </c>
      <c r="B8" s="7">
        <v>45483</v>
      </c>
      <c r="C8" s="8" t="str">
        <f>TEXT(Table1[[#This Row],[Order_Date]],"MMM-YYYY")</f>
        <v>Jul-2024</v>
      </c>
      <c r="D8" s="9" t="s">
        <v>31</v>
      </c>
      <c r="E8" s="9" t="s">
        <v>23</v>
      </c>
      <c r="F8" s="9" t="s">
        <v>12</v>
      </c>
      <c r="G8" s="10">
        <v>1534.1</v>
      </c>
      <c r="H8" s="10">
        <v>460.23</v>
      </c>
      <c r="I8" s="9">
        <v>10</v>
      </c>
      <c r="J8" s="11">
        <f t="shared" si="0"/>
        <v>0.30000000000000004</v>
      </c>
      <c r="K8" s="20">
        <f t="shared" si="1"/>
        <v>15341</v>
      </c>
    </row>
    <row r="9" spans="1:11" ht="36.6" hidden="1" customHeight="1" x14ac:dyDescent="0.3">
      <c r="A9" s="6" t="s">
        <v>32</v>
      </c>
      <c r="B9" s="7">
        <v>45484</v>
      </c>
      <c r="C9" s="8" t="str">
        <f>TEXT(Table1[[#This Row],[Order_Date]],"MMM-YYYY")</f>
        <v>Jul-2024</v>
      </c>
      <c r="D9" s="9" t="s">
        <v>15</v>
      </c>
      <c r="E9" s="9" t="s">
        <v>26</v>
      </c>
      <c r="F9" s="9" t="s">
        <v>12</v>
      </c>
      <c r="G9" s="10">
        <v>970.92</v>
      </c>
      <c r="H9" s="10">
        <v>368.95</v>
      </c>
      <c r="I9" s="9">
        <v>18</v>
      </c>
      <c r="J9" s="11">
        <f t="shared" si="0"/>
        <v>0.38000041198038975</v>
      </c>
      <c r="K9" s="20">
        <f t="shared" si="1"/>
        <v>17476.559999999998</v>
      </c>
    </row>
    <row r="10" spans="1:11" ht="36.6" hidden="1" customHeight="1" x14ac:dyDescent="0.3">
      <c r="A10" s="6" t="s">
        <v>34</v>
      </c>
      <c r="B10" s="7">
        <v>45485</v>
      </c>
      <c r="C10" s="8" t="str">
        <f>TEXT(Table1[[#This Row],[Order_Date]],"MMM-YYYY")</f>
        <v>Jul-2024</v>
      </c>
      <c r="D10" s="9" t="s">
        <v>36</v>
      </c>
      <c r="E10" s="9" t="s">
        <v>37</v>
      </c>
      <c r="F10" s="9" t="s">
        <v>17</v>
      </c>
      <c r="G10" s="10">
        <v>2200.08</v>
      </c>
      <c r="H10" s="10">
        <v>440.02</v>
      </c>
      <c r="I10" s="9">
        <v>6</v>
      </c>
      <c r="J10" s="11">
        <f t="shared" si="0"/>
        <v>0.20000181811570489</v>
      </c>
      <c r="K10" s="20">
        <f t="shared" si="1"/>
        <v>13200.48</v>
      </c>
    </row>
    <row r="11" spans="1:11" ht="36.6" hidden="1" customHeight="1" x14ac:dyDescent="0.3">
      <c r="A11" s="6" t="s">
        <v>38</v>
      </c>
      <c r="B11" s="7">
        <v>45486</v>
      </c>
      <c r="C11" s="8" t="str">
        <f>TEXT(Table1[[#This Row],[Order_Date]],"MMM-YYYY")</f>
        <v>Jul-2024</v>
      </c>
      <c r="D11" s="9" t="s">
        <v>36</v>
      </c>
      <c r="E11" s="9" t="s">
        <v>40</v>
      </c>
      <c r="F11" s="9" t="s">
        <v>41</v>
      </c>
      <c r="G11" s="10">
        <v>4079.55</v>
      </c>
      <c r="H11" s="10">
        <v>734.32</v>
      </c>
      <c r="I11" s="9">
        <v>15</v>
      </c>
      <c r="J11" s="11">
        <f t="shared" si="0"/>
        <v>0.18000024512507506</v>
      </c>
      <c r="K11" s="20">
        <f t="shared" si="1"/>
        <v>61193.25</v>
      </c>
    </row>
    <row r="12" spans="1:11" ht="36.6" hidden="1" customHeight="1" x14ac:dyDescent="0.3">
      <c r="A12" s="6" t="s">
        <v>42</v>
      </c>
      <c r="B12" s="7">
        <v>45487</v>
      </c>
      <c r="C12" s="8" t="str">
        <f>TEXT(Table1[[#This Row],[Order_Date]],"MMM-YYYY")</f>
        <v>Jul-2024</v>
      </c>
      <c r="D12" s="9" t="s">
        <v>31</v>
      </c>
      <c r="E12" s="9" t="s">
        <v>44</v>
      </c>
      <c r="F12" s="9" t="s">
        <v>17</v>
      </c>
      <c r="G12" s="10">
        <v>7270.68</v>
      </c>
      <c r="H12" s="10">
        <v>2035.79</v>
      </c>
      <c r="I12" s="9">
        <v>12</v>
      </c>
      <c r="J12" s="11">
        <f t="shared" si="0"/>
        <v>0.27999994498451314</v>
      </c>
      <c r="K12" s="20">
        <f t="shared" si="1"/>
        <v>87248.16</v>
      </c>
    </row>
    <row r="13" spans="1:11" ht="36.6" hidden="1" customHeight="1" x14ac:dyDescent="0.3">
      <c r="A13" s="6" t="s">
        <v>45</v>
      </c>
      <c r="B13" s="7">
        <v>45488</v>
      </c>
      <c r="C13" s="8" t="str">
        <f>TEXT(Table1[[#This Row],[Order_Date]],"MMM-YYYY")</f>
        <v>Jul-2024</v>
      </c>
      <c r="D13" s="9" t="s">
        <v>31</v>
      </c>
      <c r="E13" s="9" t="s">
        <v>44</v>
      </c>
      <c r="F13" s="9" t="s">
        <v>17</v>
      </c>
      <c r="G13" s="10">
        <v>4986.72</v>
      </c>
      <c r="H13" s="10">
        <v>1396.28</v>
      </c>
      <c r="I13" s="9">
        <v>9</v>
      </c>
      <c r="J13" s="11">
        <f t="shared" si="0"/>
        <v>0.27999967914781659</v>
      </c>
      <c r="K13" s="20">
        <f t="shared" si="1"/>
        <v>44880.480000000003</v>
      </c>
    </row>
    <row r="14" spans="1:11" ht="36.6" hidden="1" customHeight="1" x14ac:dyDescent="0.3">
      <c r="A14" s="6" t="s">
        <v>47</v>
      </c>
      <c r="B14" s="7">
        <v>45489</v>
      </c>
      <c r="C14" s="8" t="str">
        <f>TEXT(Table1[[#This Row],[Order_Date]],"MMM-YYYY")</f>
        <v>Jul-2024</v>
      </c>
      <c r="D14" s="9" t="s">
        <v>36</v>
      </c>
      <c r="E14" s="9" t="s">
        <v>49</v>
      </c>
      <c r="F14" s="9" t="s">
        <v>12</v>
      </c>
      <c r="G14" s="10">
        <v>356.76</v>
      </c>
      <c r="H14" s="10">
        <v>114.16</v>
      </c>
      <c r="I14" s="9">
        <v>3</v>
      </c>
      <c r="J14" s="11">
        <f t="shared" si="0"/>
        <v>0.31999103038457227</v>
      </c>
      <c r="K14" s="20">
        <f t="shared" si="1"/>
        <v>1070.28</v>
      </c>
    </row>
    <row r="15" spans="1:11" ht="36.6" hidden="1" customHeight="1" x14ac:dyDescent="0.3">
      <c r="A15" s="6" t="s">
        <v>50</v>
      </c>
      <c r="B15" s="7">
        <v>45490</v>
      </c>
      <c r="C15" s="8" t="str">
        <f>TEXT(Table1[[#This Row],[Order_Date]],"MMM-YYYY")</f>
        <v>Jul-2024</v>
      </c>
      <c r="D15" s="9" t="s">
        <v>36</v>
      </c>
      <c r="E15" s="9" t="s">
        <v>23</v>
      </c>
      <c r="F15" s="9" t="s">
        <v>12</v>
      </c>
      <c r="G15" s="10">
        <v>1416.69</v>
      </c>
      <c r="H15" s="10">
        <v>425.01</v>
      </c>
      <c r="I15" s="9">
        <v>11</v>
      </c>
      <c r="J15" s="11">
        <f t="shared" si="0"/>
        <v>0.30000211761218049</v>
      </c>
      <c r="K15" s="20">
        <f t="shared" si="1"/>
        <v>15583.59</v>
      </c>
    </row>
    <row r="16" spans="1:11" ht="36.6" customHeight="1" x14ac:dyDescent="0.3">
      <c r="A16" s="24" t="s">
        <v>52</v>
      </c>
      <c r="B16" s="7">
        <v>45491</v>
      </c>
      <c r="C16" s="8" t="str">
        <f>TEXT(Table1[[#This Row],[Order_Date]],"MMM-YYYY")</f>
        <v>Jul-2024</v>
      </c>
      <c r="D16" s="9" t="s">
        <v>36</v>
      </c>
      <c r="E16" s="9" t="s">
        <v>20</v>
      </c>
      <c r="F16" s="9" t="s">
        <v>17</v>
      </c>
      <c r="G16" s="10">
        <v>2983.6</v>
      </c>
      <c r="H16" s="10">
        <v>716.06</v>
      </c>
      <c r="I16" s="9">
        <v>8</v>
      </c>
      <c r="J16" s="11">
        <f t="shared" si="0"/>
        <v>0.23999865933771283</v>
      </c>
      <c r="K16" s="20">
        <f t="shared" si="1"/>
        <v>23868.799999999999</v>
      </c>
    </row>
    <row r="17" spans="1:11" ht="36.6" hidden="1" customHeight="1" x14ac:dyDescent="0.3">
      <c r="A17" s="6" t="s">
        <v>53</v>
      </c>
      <c r="B17" s="7">
        <v>45492</v>
      </c>
      <c r="C17" s="8" t="str">
        <f>TEXT(Table1[[#This Row],[Order_Date]],"MMM-YYYY")</f>
        <v>Jul-2024</v>
      </c>
      <c r="D17" s="9" t="s">
        <v>36</v>
      </c>
      <c r="E17" s="9" t="s">
        <v>40</v>
      </c>
      <c r="F17" s="9" t="s">
        <v>41</v>
      </c>
      <c r="G17" s="10">
        <v>2034.99</v>
      </c>
      <c r="H17" s="10">
        <v>366.3</v>
      </c>
      <c r="I17" s="9">
        <v>9</v>
      </c>
      <c r="J17" s="11">
        <f t="shared" si="0"/>
        <v>0.18000088452523108</v>
      </c>
      <c r="K17" s="20">
        <f t="shared" si="1"/>
        <v>18314.91</v>
      </c>
    </row>
    <row r="18" spans="1:11" ht="36.6" hidden="1" customHeight="1" x14ac:dyDescent="0.3">
      <c r="A18" s="6" t="s">
        <v>55</v>
      </c>
      <c r="B18" s="7">
        <v>45493</v>
      </c>
      <c r="C18" s="8" t="str">
        <f>TEXT(Table1[[#This Row],[Order_Date]],"MMM-YYYY")</f>
        <v>Jul-2024</v>
      </c>
      <c r="D18" s="9" t="s">
        <v>36</v>
      </c>
      <c r="E18" s="9" t="s">
        <v>37</v>
      </c>
      <c r="F18" s="9" t="s">
        <v>17</v>
      </c>
      <c r="G18" s="10">
        <v>5628.42</v>
      </c>
      <c r="H18" s="10">
        <v>1125.68</v>
      </c>
      <c r="I18" s="9">
        <v>18</v>
      </c>
      <c r="J18" s="11">
        <f t="shared" si="0"/>
        <v>0.19999928932098174</v>
      </c>
      <c r="K18" s="20">
        <f t="shared" si="1"/>
        <v>101311.56</v>
      </c>
    </row>
    <row r="19" spans="1:11" ht="36.6" hidden="1" customHeight="1" x14ac:dyDescent="0.3">
      <c r="A19" s="6" t="s">
        <v>57</v>
      </c>
      <c r="B19" s="7">
        <v>45494</v>
      </c>
      <c r="C19" s="8" t="str">
        <f>TEXT(Table1[[#This Row],[Order_Date]],"MMM-YYYY")</f>
        <v>Jul-2024</v>
      </c>
      <c r="D19" s="9" t="s">
        <v>10</v>
      </c>
      <c r="E19" s="9" t="s">
        <v>40</v>
      </c>
      <c r="F19" s="9" t="s">
        <v>41</v>
      </c>
      <c r="G19" s="10">
        <v>3938.55</v>
      </c>
      <c r="H19" s="10">
        <v>708.94</v>
      </c>
      <c r="I19" s="9">
        <v>15</v>
      </c>
      <c r="J19" s="11">
        <f t="shared" si="0"/>
        <v>0.18000025390054716</v>
      </c>
      <c r="K19" s="20">
        <f t="shared" si="1"/>
        <v>59078.25</v>
      </c>
    </row>
    <row r="20" spans="1:11" ht="36.6" hidden="1" customHeight="1" x14ac:dyDescent="0.3">
      <c r="A20" s="6" t="s">
        <v>59</v>
      </c>
      <c r="B20" s="7">
        <v>45495</v>
      </c>
      <c r="C20" s="8" t="str">
        <f>TEXT(Table1[[#This Row],[Order_Date]],"MMM-YYYY")</f>
        <v>Jul-2024</v>
      </c>
      <c r="D20" s="9" t="s">
        <v>10</v>
      </c>
      <c r="E20" s="9" t="s">
        <v>44</v>
      </c>
      <c r="F20" s="9" t="s">
        <v>17</v>
      </c>
      <c r="G20" s="10">
        <v>4330.32</v>
      </c>
      <c r="H20" s="10">
        <v>1212.49</v>
      </c>
      <c r="I20" s="9">
        <v>8</v>
      </c>
      <c r="J20" s="11">
        <f t="shared" si="0"/>
        <v>0.28000009237192636</v>
      </c>
      <c r="K20" s="20">
        <f t="shared" si="1"/>
        <v>34642.559999999998</v>
      </c>
    </row>
    <row r="21" spans="1:11" ht="36.6" hidden="1" customHeight="1" x14ac:dyDescent="0.3">
      <c r="A21" s="6" t="s">
        <v>61</v>
      </c>
      <c r="B21" s="7">
        <v>45496</v>
      </c>
      <c r="C21" s="8" t="str">
        <f>TEXT(Table1[[#This Row],[Order_Date]],"MMM-YYYY")</f>
        <v>Jul-2024</v>
      </c>
      <c r="D21" s="9" t="s">
        <v>31</v>
      </c>
      <c r="E21" s="9" t="s">
        <v>26</v>
      </c>
      <c r="F21" s="9" t="s">
        <v>12</v>
      </c>
      <c r="G21" s="10">
        <v>721.11</v>
      </c>
      <c r="H21" s="10">
        <v>274.02</v>
      </c>
      <c r="I21" s="9">
        <v>13</v>
      </c>
      <c r="J21" s="11">
        <f t="shared" si="0"/>
        <v>0.37999750384823394</v>
      </c>
      <c r="K21" s="20">
        <f t="shared" si="1"/>
        <v>9374.43</v>
      </c>
    </row>
    <row r="22" spans="1:11" ht="36.6" hidden="1" customHeight="1" x14ac:dyDescent="0.3">
      <c r="A22" s="6" t="s">
        <v>63</v>
      </c>
      <c r="B22" s="7">
        <v>45497</v>
      </c>
      <c r="C22" s="8" t="str">
        <f>TEXT(Table1[[#This Row],[Order_Date]],"MMM-YYYY")</f>
        <v>Jul-2024</v>
      </c>
      <c r="D22" s="9" t="s">
        <v>36</v>
      </c>
      <c r="E22" s="9" t="s">
        <v>16</v>
      </c>
      <c r="F22" s="9" t="s">
        <v>17</v>
      </c>
      <c r="G22" s="10">
        <v>3012.8</v>
      </c>
      <c r="H22" s="10">
        <v>753.2</v>
      </c>
      <c r="I22" s="9">
        <v>7</v>
      </c>
      <c r="J22" s="11">
        <f t="shared" si="0"/>
        <v>0.25</v>
      </c>
      <c r="K22" s="20">
        <f t="shared" si="1"/>
        <v>21089.600000000002</v>
      </c>
    </row>
    <row r="23" spans="1:11" ht="36.6" hidden="1" customHeight="1" x14ac:dyDescent="0.3">
      <c r="A23" s="6" t="s">
        <v>65</v>
      </c>
      <c r="B23" s="7">
        <v>45498</v>
      </c>
      <c r="C23" s="8" t="str">
        <f>TEXT(Table1[[#This Row],[Order_Date]],"MMM-YYYY")</f>
        <v>Jul-2024</v>
      </c>
      <c r="D23" s="9" t="s">
        <v>36</v>
      </c>
      <c r="E23" s="9" t="s">
        <v>44</v>
      </c>
      <c r="F23" s="9" t="s">
        <v>17</v>
      </c>
      <c r="G23" s="10">
        <v>10339.99</v>
      </c>
      <c r="H23" s="10">
        <v>2895.2</v>
      </c>
      <c r="I23" s="9">
        <v>19</v>
      </c>
      <c r="J23" s="11">
        <f t="shared" si="0"/>
        <v>0.28000027079329864</v>
      </c>
      <c r="K23" s="20">
        <f t="shared" si="1"/>
        <v>196459.81</v>
      </c>
    </row>
    <row r="24" spans="1:11" ht="36.6" customHeight="1" x14ac:dyDescent="0.3">
      <c r="A24" s="24" t="s">
        <v>67</v>
      </c>
      <c r="B24" s="7">
        <v>45499</v>
      </c>
      <c r="C24" s="8" t="str">
        <f>TEXT(Table1[[#This Row],[Order_Date]],"MMM-YYYY")</f>
        <v>Jul-2024</v>
      </c>
      <c r="D24" s="9" t="s">
        <v>10</v>
      </c>
      <c r="E24" s="9" t="s">
        <v>20</v>
      </c>
      <c r="F24" s="9" t="s">
        <v>17</v>
      </c>
      <c r="G24" s="10">
        <v>3364.29</v>
      </c>
      <c r="H24" s="10">
        <v>807.43</v>
      </c>
      <c r="I24" s="9">
        <v>9</v>
      </c>
      <c r="J24" s="11">
        <f t="shared" si="0"/>
        <v>0.24000011889581455</v>
      </c>
      <c r="K24" s="20">
        <f t="shared" si="1"/>
        <v>30278.61</v>
      </c>
    </row>
    <row r="25" spans="1:11" ht="36.6" hidden="1" customHeight="1" x14ac:dyDescent="0.3">
      <c r="A25" s="6" t="s">
        <v>69</v>
      </c>
      <c r="B25" s="7">
        <v>45500</v>
      </c>
      <c r="C25" s="8" t="str">
        <f>TEXT(Table1[[#This Row],[Order_Date]],"MMM-YYYY")</f>
        <v>Jul-2024</v>
      </c>
      <c r="D25" s="9" t="s">
        <v>10</v>
      </c>
      <c r="E25" s="9" t="s">
        <v>11</v>
      </c>
      <c r="F25" s="9" t="s">
        <v>12</v>
      </c>
      <c r="G25" s="10">
        <v>785.1</v>
      </c>
      <c r="H25" s="10">
        <v>274.77999999999997</v>
      </c>
      <c r="I25" s="9">
        <v>10</v>
      </c>
      <c r="J25" s="11">
        <f t="shared" si="0"/>
        <v>0.34999363138453693</v>
      </c>
      <c r="K25" s="20">
        <f t="shared" si="1"/>
        <v>7851</v>
      </c>
    </row>
    <row r="26" spans="1:11" ht="36.6" customHeight="1" x14ac:dyDescent="0.3">
      <c r="A26" s="24" t="s">
        <v>71</v>
      </c>
      <c r="B26" s="7">
        <v>45501</v>
      </c>
      <c r="C26" s="8" t="str">
        <f>TEXT(Table1[[#This Row],[Order_Date]],"MMM-YYYY")</f>
        <v>Jul-2024</v>
      </c>
      <c r="D26" s="9" t="s">
        <v>15</v>
      </c>
      <c r="E26" s="9" t="s">
        <v>20</v>
      </c>
      <c r="F26" s="9" t="s">
        <v>17</v>
      </c>
      <c r="G26" s="10">
        <v>2082.6999999999998</v>
      </c>
      <c r="H26" s="10">
        <v>499.85</v>
      </c>
      <c r="I26" s="9">
        <v>5</v>
      </c>
      <c r="J26" s="11">
        <f t="shared" si="0"/>
        <v>0.24000096029192877</v>
      </c>
      <c r="K26" s="20">
        <f t="shared" si="1"/>
        <v>10413.5</v>
      </c>
    </row>
    <row r="27" spans="1:11" ht="36.6" hidden="1" customHeight="1" x14ac:dyDescent="0.3">
      <c r="A27" s="6" t="s">
        <v>73</v>
      </c>
      <c r="B27" s="7">
        <v>45502</v>
      </c>
      <c r="C27" s="8" t="str">
        <f>TEXT(Table1[[#This Row],[Order_Date]],"MMM-YYYY")</f>
        <v>Jul-2024</v>
      </c>
      <c r="D27" s="9" t="s">
        <v>10</v>
      </c>
      <c r="E27" s="9" t="s">
        <v>16</v>
      </c>
      <c r="F27" s="9" t="s">
        <v>17</v>
      </c>
      <c r="G27" s="10">
        <v>4118.8999999999996</v>
      </c>
      <c r="H27" s="10">
        <v>1029.72</v>
      </c>
      <c r="I27" s="9">
        <v>10</v>
      </c>
      <c r="J27" s="11">
        <f t="shared" si="0"/>
        <v>0.24999878608366313</v>
      </c>
      <c r="K27" s="20">
        <f t="shared" si="1"/>
        <v>41189</v>
      </c>
    </row>
    <row r="28" spans="1:11" ht="36.6" hidden="1" customHeight="1" x14ac:dyDescent="0.3">
      <c r="A28" s="6" t="s">
        <v>75</v>
      </c>
      <c r="B28" s="7">
        <v>45503</v>
      </c>
      <c r="C28" s="8" t="str">
        <f>TEXT(Table1[[#This Row],[Order_Date]],"MMM-YYYY")</f>
        <v>Jul-2024</v>
      </c>
      <c r="D28" s="9" t="s">
        <v>15</v>
      </c>
      <c r="E28" s="9" t="s">
        <v>23</v>
      </c>
      <c r="F28" s="9" t="s">
        <v>12</v>
      </c>
      <c r="G28" s="10">
        <v>2326.0500000000002</v>
      </c>
      <c r="H28" s="10">
        <v>697.82</v>
      </c>
      <c r="I28" s="9">
        <v>15</v>
      </c>
      <c r="J28" s="11">
        <f t="shared" si="0"/>
        <v>0.30000214956686228</v>
      </c>
      <c r="K28" s="20">
        <f t="shared" si="1"/>
        <v>34890.75</v>
      </c>
    </row>
    <row r="29" spans="1:11" ht="36.6" hidden="1" customHeight="1" x14ac:dyDescent="0.3">
      <c r="A29" s="6" t="s">
        <v>77</v>
      </c>
      <c r="B29" s="7">
        <v>45504</v>
      </c>
      <c r="C29" s="8" t="str">
        <f>TEXT(Table1[[#This Row],[Order_Date]],"MMM-YYYY")</f>
        <v>Jul-2024</v>
      </c>
      <c r="D29" s="9" t="s">
        <v>31</v>
      </c>
      <c r="E29" s="9" t="s">
        <v>16</v>
      </c>
      <c r="F29" s="9" t="s">
        <v>17</v>
      </c>
      <c r="G29" s="10">
        <v>5533.68</v>
      </c>
      <c r="H29" s="10">
        <v>1383.42</v>
      </c>
      <c r="I29" s="9">
        <v>12</v>
      </c>
      <c r="J29" s="11">
        <f t="shared" si="0"/>
        <v>0.25</v>
      </c>
      <c r="K29" s="20">
        <f t="shared" si="1"/>
        <v>66404.160000000003</v>
      </c>
    </row>
    <row r="30" spans="1:11" ht="36.6" hidden="1" customHeight="1" x14ac:dyDescent="0.3">
      <c r="A30" s="6" t="s">
        <v>79</v>
      </c>
      <c r="B30" s="7">
        <v>45505</v>
      </c>
      <c r="C30" s="8" t="str">
        <f>TEXT(Table1[[#This Row],[Order_Date]],"MMM-YYYY")</f>
        <v>Aug-2024</v>
      </c>
      <c r="D30" s="9" t="s">
        <v>15</v>
      </c>
      <c r="E30" s="9" t="s">
        <v>37</v>
      </c>
      <c r="F30" s="9" t="s">
        <v>17</v>
      </c>
      <c r="G30" s="10">
        <v>4267.8999999999996</v>
      </c>
      <c r="H30" s="10">
        <v>853.58</v>
      </c>
      <c r="I30" s="9">
        <v>14</v>
      </c>
      <c r="J30" s="11">
        <f t="shared" si="0"/>
        <v>0.20000000000000004</v>
      </c>
      <c r="K30" s="20">
        <f t="shared" si="1"/>
        <v>59750.599999999991</v>
      </c>
    </row>
    <row r="31" spans="1:11" ht="36.6" hidden="1" customHeight="1" x14ac:dyDescent="0.3">
      <c r="A31" s="6" t="s">
        <v>81</v>
      </c>
      <c r="B31" s="7">
        <v>45506</v>
      </c>
      <c r="C31" s="8" t="str">
        <f>TEXT(Table1[[#This Row],[Order_Date]],"MMM-YYYY")</f>
        <v>Aug-2024</v>
      </c>
      <c r="D31" s="9" t="s">
        <v>10</v>
      </c>
      <c r="E31" s="9" t="s">
        <v>16</v>
      </c>
      <c r="F31" s="9" t="s">
        <v>17</v>
      </c>
      <c r="G31" s="10">
        <v>3375.47</v>
      </c>
      <c r="H31" s="10">
        <v>843.87</v>
      </c>
      <c r="I31" s="9">
        <v>7</v>
      </c>
      <c r="J31" s="11">
        <f t="shared" si="0"/>
        <v>0.25000074063760014</v>
      </c>
      <c r="K31" s="20">
        <f t="shared" si="1"/>
        <v>23628.289999999997</v>
      </c>
    </row>
    <row r="32" spans="1:11" ht="36.6" hidden="1" customHeight="1" x14ac:dyDescent="0.3">
      <c r="A32" s="6" t="s">
        <v>82</v>
      </c>
      <c r="B32" s="7">
        <v>45507</v>
      </c>
      <c r="C32" s="8" t="str">
        <f>TEXT(Table1[[#This Row],[Order_Date]],"MMM-YYYY")</f>
        <v>Aug-2024</v>
      </c>
      <c r="D32" s="9" t="s">
        <v>31</v>
      </c>
      <c r="E32" s="9" t="s">
        <v>49</v>
      </c>
      <c r="F32" s="9" t="s">
        <v>12</v>
      </c>
      <c r="G32" s="10">
        <v>2106.34</v>
      </c>
      <c r="H32" s="10">
        <v>674.03</v>
      </c>
      <c r="I32" s="9">
        <v>19</v>
      </c>
      <c r="J32" s="11">
        <f t="shared" si="0"/>
        <v>0.32000056970859403</v>
      </c>
      <c r="K32" s="20">
        <f t="shared" si="1"/>
        <v>40020.460000000006</v>
      </c>
    </row>
    <row r="33" spans="1:11" ht="36.6" hidden="1" customHeight="1" x14ac:dyDescent="0.3">
      <c r="A33" s="6" t="s">
        <v>84</v>
      </c>
      <c r="B33" s="7">
        <v>45508</v>
      </c>
      <c r="C33" s="8" t="str">
        <f>TEXT(Table1[[#This Row],[Order_Date]],"MMM-YYYY")</f>
        <v>Aug-2024</v>
      </c>
      <c r="D33" s="9" t="s">
        <v>36</v>
      </c>
      <c r="E33" s="9" t="s">
        <v>37</v>
      </c>
      <c r="F33" s="9" t="s">
        <v>17</v>
      </c>
      <c r="G33" s="10">
        <v>3954.6</v>
      </c>
      <c r="H33" s="10">
        <v>790.92</v>
      </c>
      <c r="I33" s="9">
        <v>12</v>
      </c>
      <c r="J33" s="11">
        <f t="shared" si="0"/>
        <v>0.19999999999999998</v>
      </c>
      <c r="K33" s="20">
        <f t="shared" si="1"/>
        <v>47455.199999999997</v>
      </c>
    </row>
    <row r="34" spans="1:11" ht="36.6" hidden="1" customHeight="1" x14ac:dyDescent="0.3">
      <c r="A34" s="6" t="s">
        <v>86</v>
      </c>
      <c r="B34" s="7">
        <v>45509</v>
      </c>
      <c r="C34" s="8" t="str">
        <f>TEXT(Table1[[#This Row],[Order_Date]],"MMM-YYYY")</f>
        <v>Aug-2024</v>
      </c>
      <c r="D34" s="9" t="s">
        <v>31</v>
      </c>
      <c r="E34" s="9" t="s">
        <v>40</v>
      </c>
      <c r="F34" s="9" t="s">
        <v>41</v>
      </c>
      <c r="G34" s="10">
        <v>727.65</v>
      </c>
      <c r="H34" s="10">
        <v>130.97999999999999</v>
      </c>
      <c r="I34" s="9">
        <v>3</v>
      </c>
      <c r="J34" s="11">
        <f t="shared" si="0"/>
        <v>0.18000412286126571</v>
      </c>
      <c r="K34" s="20">
        <f t="shared" si="1"/>
        <v>2182.9499999999998</v>
      </c>
    </row>
    <row r="35" spans="1:11" ht="36.6" hidden="1" customHeight="1" x14ac:dyDescent="0.3">
      <c r="A35" s="6" t="s">
        <v>87</v>
      </c>
      <c r="B35" s="7">
        <v>45510</v>
      </c>
      <c r="C35" s="8" t="str">
        <f>TEXT(Table1[[#This Row],[Order_Date]],"MMM-YYYY")</f>
        <v>Aug-2024</v>
      </c>
      <c r="D35" s="9" t="s">
        <v>10</v>
      </c>
      <c r="E35" s="9" t="s">
        <v>11</v>
      </c>
      <c r="F35" s="9" t="s">
        <v>12</v>
      </c>
      <c r="G35" s="10">
        <v>1099.8</v>
      </c>
      <c r="H35" s="10">
        <v>384.93</v>
      </c>
      <c r="I35" s="9">
        <v>13</v>
      </c>
      <c r="J35" s="11">
        <f t="shared" si="0"/>
        <v>0.35000000000000003</v>
      </c>
      <c r="K35" s="20">
        <f t="shared" si="1"/>
        <v>14297.4</v>
      </c>
    </row>
    <row r="36" spans="1:11" ht="36.6" customHeight="1" x14ac:dyDescent="0.3">
      <c r="A36" s="24" t="s">
        <v>89</v>
      </c>
      <c r="B36" s="7">
        <v>45511</v>
      </c>
      <c r="C36" s="8" t="str">
        <f>TEXT(Table1[[#This Row],[Order_Date]],"MMM-YYYY")</f>
        <v>Aug-2024</v>
      </c>
      <c r="D36" s="9" t="s">
        <v>15</v>
      </c>
      <c r="E36" s="9" t="s">
        <v>20</v>
      </c>
      <c r="F36" s="9" t="s">
        <v>17</v>
      </c>
      <c r="G36" s="10">
        <v>6162.38</v>
      </c>
      <c r="H36" s="10">
        <v>1478.97</v>
      </c>
      <c r="I36" s="9">
        <v>14</v>
      </c>
      <c r="J36" s="11">
        <f t="shared" si="0"/>
        <v>0.23999980527004178</v>
      </c>
      <c r="K36" s="20">
        <f t="shared" si="1"/>
        <v>86273.32</v>
      </c>
    </row>
    <row r="37" spans="1:11" ht="36.6" hidden="1" customHeight="1" x14ac:dyDescent="0.3">
      <c r="A37" s="6" t="s">
        <v>91</v>
      </c>
      <c r="B37" s="7">
        <v>45512</v>
      </c>
      <c r="C37" s="8" t="str">
        <f>TEXT(Table1[[#This Row],[Order_Date]],"MMM-YYYY")</f>
        <v>Aug-2024</v>
      </c>
      <c r="D37" s="9" t="s">
        <v>36</v>
      </c>
      <c r="E37" s="9" t="s">
        <v>37</v>
      </c>
      <c r="F37" s="9" t="s">
        <v>17</v>
      </c>
      <c r="G37" s="10">
        <v>5692.64</v>
      </c>
      <c r="H37" s="10">
        <v>1138.53</v>
      </c>
      <c r="I37" s="9">
        <v>16</v>
      </c>
      <c r="J37" s="11">
        <f t="shared" si="0"/>
        <v>0.20000035133084121</v>
      </c>
      <c r="K37" s="20">
        <f t="shared" si="1"/>
        <v>91082.240000000005</v>
      </c>
    </row>
    <row r="38" spans="1:11" ht="36.6" customHeight="1" x14ac:dyDescent="0.3">
      <c r="A38" s="24" t="s">
        <v>93</v>
      </c>
      <c r="B38" s="7">
        <v>45513</v>
      </c>
      <c r="C38" s="8" t="str">
        <f>TEXT(Table1[[#This Row],[Order_Date]],"MMM-YYYY")</f>
        <v>Aug-2024</v>
      </c>
      <c r="D38" s="9" t="s">
        <v>15</v>
      </c>
      <c r="E38" s="9" t="s">
        <v>20</v>
      </c>
      <c r="F38" s="9" t="s">
        <v>17</v>
      </c>
      <c r="G38" s="10">
        <v>9161.2000000000007</v>
      </c>
      <c r="H38" s="10">
        <v>2198.69</v>
      </c>
      <c r="I38" s="9">
        <v>20</v>
      </c>
      <c r="J38" s="11">
        <f t="shared" si="0"/>
        <v>0.24000021831201152</v>
      </c>
      <c r="K38" s="20">
        <f t="shared" si="1"/>
        <v>183224</v>
      </c>
    </row>
    <row r="39" spans="1:11" ht="36.6" hidden="1" customHeight="1" x14ac:dyDescent="0.3">
      <c r="A39" s="6" t="s">
        <v>95</v>
      </c>
      <c r="B39" s="7">
        <v>45514</v>
      </c>
      <c r="C39" s="8" t="str">
        <f>TEXT(Table1[[#This Row],[Order_Date]],"MMM-YYYY")</f>
        <v>Aug-2024</v>
      </c>
      <c r="D39" s="9" t="s">
        <v>31</v>
      </c>
      <c r="E39" s="9" t="s">
        <v>49</v>
      </c>
      <c r="F39" s="9" t="s">
        <v>12</v>
      </c>
      <c r="G39" s="10">
        <v>1450.15</v>
      </c>
      <c r="H39" s="10">
        <v>464.05</v>
      </c>
      <c r="I39" s="9">
        <v>13</v>
      </c>
      <c r="J39" s="11">
        <f t="shared" si="0"/>
        <v>0.3200013791676723</v>
      </c>
      <c r="K39" s="20">
        <f t="shared" si="1"/>
        <v>18851.95</v>
      </c>
    </row>
    <row r="40" spans="1:11" ht="36.6" hidden="1" customHeight="1" x14ac:dyDescent="0.3">
      <c r="A40" s="6" t="s">
        <v>97</v>
      </c>
      <c r="B40" s="7">
        <v>45515</v>
      </c>
      <c r="C40" s="8" t="str">
        <f>TEXT(Table1[[#This Row],[Order_Date]],"MMM-YYYY")</f>
        <v>Aug-2024</v>
      </c>
      <c r="D40" s="9" t="s">
        <v>15</v>
      </c>
      <c r="E40" s="9" t="s">
        <v>44</v>
      </c>
      <c r="F40" s="9" t="s">
        <v>17</v>
      </c>
      <c r="G40" s="10">
        <v>7505.64</v>
      </c>
      <c r="H40" s="10">
        <v>2101.58</v>
      </c>
      <c r="I40" s="9">
        <v>12</v>
      </c>
      <c r="J40" s="11">
        <f t="shared" si="0"/>
        <v>0.28000010658651359</v>
      </c>
      <c r="K40" s="20">
        <f t="shared" si="1"/>
        <v>90067.680000000008</v>
      </c>
    </row>
    <row r="41" spans="1:11" ht="36.6" hidden="1" customHeight="1" x14ac:dyDescent="0.3">
      <c r="A41" s="6" t="s">
        <v>99</v>
      </c>
      <c r="B41" s="7">
        <v>45516</v>
      </c>
      <c r="C41" s="8" t="str">
        <f>TEXT(Table1[[#This Row],[Order_Date]],"MMM-YYYY")</f>
        <v>Aug-2024</v>
      </c>
      <c r="D41" s="9" t="s">
        <v>10</v>
      </c>
      <c r="E41" s="9" t="s">
        <v>44</v>
      </c>
      <c r="F41" s="9" t="s">
        <v>17</v>
      </c>
      <c r="G41" s="10">
        <v>9538.5</v>
      </c>
      <c r="H41" s="10">
        <v>2670.78</v>
      </c>
      <c r="I41" s="9">
        <v>15</v>
      </c>
      <c r="J41" s="11">
        <f t="shared" si="0"/>
        <v>0.28000000000000003</v>
      </c>
      <c r="K41" s="20">
        <f t="shared" si="1"/>
        <v>143077.5</v>
      </c>
    </row>
    <row r="42" spans="1:11" ht="36.6" hidden="1" customHeight="1" x14ac:dyDescent="0.3">
      <c r="A42" s="6" t="s">
        <v>101</v>
      </c>
      <c r="B42" s="7">
        <v>45517</v>
      </c>
      <c r="C42" s="8" t="str">
        <f>TEXT(Table1[[#This Row],[Order_Date]],"MMM-YYYY")</f>
        <v>Aug-2024</v>
      </c>
      <c r="D42" s="9" t="s">
        <v>31</v>
      </c>
      <c r="E42" s="9" t="s">
        <v>16</v>
      </c>
      <c r="F42" s="9" t="s">
        <v>17</v>
      </c>
      <c r="G42" s="10">
        <v>6206.48</v>
      </c>
      <c r="H42" s="10">
        <v>1551.62</v>
      </c>
      <c r="I42" s="9">
        <v>14</v>
      </c>
      <c r="J42" s="11">
        <f t="shared" si="0"/>
        <v>0.25</v>
      </c>
      <c r="K42" s="20">
        <f t="shared" si="1"/>
        <v>86890.72</v>
      </c>
    </row>
    <row r="43" spans="1:11" ht="36.6" hidden="1" customHeight="1" x14ac:dyDescent="0.3">
      <c r="A43" s="6" t="s">
        <v>103</v>
      </c>
      <c r="B43" s="7">
        <v>45518</v>
      </c>
      <c r="C43" s="8" t="str">
        <f>TEXT(Table1[[#This Row],[Order_Date]],"MMM-YYYY")</f>
        <v>Aug-2024</v>
      </c>
      <c r="D43" s="9" t="s">
        <v>10</v>
      </c>
      <c r="E43" s="9" t="s">
        <v>49</v>
      </c>
      <c r="F43" s="9" t="s">
        <v>12</v>
      </c>
      <c r="G43" s="10">
        <v>1067.8499999999999</v>
      </c>
      <c r="H43" s="10">
        <v>341.71</v>
      </c>
      <c r="I43" s="9">
        <v>9</v>
      </c>
      <c r="J43" s="11">
        <f t="shared" si="0"/>
        <v>0.31999812707777309</v>
      </c>
      <c r="K43" s="20">
        <f t="shared" si="1"/>
        <v>9610.65</v>
      </c>
    </row>
    <row r="44" spans="1:11" ht="36.6" hidden="1" customHeight="1" x14ac:dyDescent="0.3">
      <c r="A44" s="6" t="s">
        <v>105</v>
      </c>
      <c r="B44" s="7">
        <v>45519</v>
      </c>
      <c r="C44" s="8" t="str">
        <f>TEXT(Table1[[#This Row],[Order_Date]],"MMM-YYYY")</f>
        <v>Aug-2024</v>
      </c>
      <c r="D44" s="9" t="s">
        <v>36</v>
      </c>
      <c r="E44" s="9" t="s">
        <v>49</v>
      </c>
      <c r="F44" s="9" t="s">
        <v>12</v>
      </c>
      <c r="G44" s="10">
        <v>1440.14</v>
      </c>
      <c r="H44" s="10">
        <v>460.84</v>
      </c>
      <c r="I44" s="9">
        <v>13</v>
      </c>
      <c r="J44" s="11">
        <f t="shared" si="0"/>
        <v>0.31999666699070922</v>
      </c>
      <c r="K44" s="20">
        <f t="shared" si="1"/>
        <v>18721.82</v>
      </c>
    </row>
    <row r="45" spans="1:11" ht="36.6" hidden="1" customHeight="1" x14ac:dyDescent="0.3">
      <c r="A45" s="6" t="s">
        <v>107</v>
      </c>
      <c r="B45" s="7">
        <v>45520</v>
      </c>
      <c r="C45" s="8" t="str">
        <f>TEXT(Table1[[#This Row],[Order_Date]],"MMM-YYYY")</f>
        <v>Aug-2024</v>
      </c>
      <c r="D45" s="9" t="s">
        <v>10</v>
      </c>
      <c r="E45" s="9" t="s">
        <v>16</v>
      </c>
      <c r="F45" s="9" t="s">
        <v>17</v>
      </c>
      <c r="G45" s="10">
        <v>1315.53</v>
      </c>
      <c r="H45" s="10">
        <v>328.88</v>
      </c>
      <c r="I45" s="9">
        <v>3</v>
      </c>
      <c r="J45" s="11">
        <f t="shared" si="0"/>
        <v>0.24999809962524611</v>
      </c>
      <c r="K45" s="20">
        <f t="shared" si="1"/>
        <v>3946.59</v>
      </c>
    </row>
    <row r="46" spans="1:11" ht="36.6" hidden="1" customHeight="1" x14ac:dyDescent="0.3">
      <c r="A46" s="6" t="s">
        <v>109</v>
      </c>
      <c r="B46" s="7">
        <v>45521</v>
      </c>
      <c r="C46" s="8" t="str">
        <f>TEXT(Table1[[#This Row],[Order_Date]],"MMM-YYYY")</f>
        <v>Aug-2024</v>
      </c>
      <c r="D46" s="9" t="s">
        <v>15</v>
      </c>
      <c r="E46" s="9" t="s">
        <v>111</v>
      </c>
      <c r="F46" s="9" t="s">
        <v>17</v>
      </c>
      <c r="G46" s="10">
        <v>15585.6</v>
      </c>
      <c r="H46" s="10">
        <v>3428.83</v>
      </c>
      <c r="I46" s="9">
        <v>17</v>
      </c>
      <c r="J46" s="11">
        <f t="shared" si="0"/>
        <v>0.21999987167641924</v>
      </c>
      <c r="K46" s="20">
        <f t="shared" si="1"/>
        <v>264955.2</v>
      </c>
    </row>
    <row r="47" spans="1:11" ht="36.6" hidden="1" customHeight="1" x14ac:dyDescent="0.3">
      <c r="A47" s="6" t="s">
        <v>112</v>
      </c>
      <c r="B47" s="7">
        <v>45522</v>
      </c>
      <c r="C47" s="8" t="str">
        <f>TEXT(Table1[[#This Row],[Order_Date]],"MMM-YYYY")</f>
        <v>Aug-2024</v>
      </c>
      <c r="D47" s="9" t="s">
        <v>31</v>
      </c>
      <c r="E47" s="9" t="s">
        <v>16</v>
      </c>
      <c r="F47" s="9" t="s">
        <v>17</v>
      </c>
      <c r="G47" s="10">
        <v>7833.4</v>
      </c>
      <c r="H47" s="10">
        <v>1958.35</v>
      </c>
      <c r="I47" s="9">
        <v>20</v>
      </c>
      <c r="J47" s="11">
        <f t="shared" si="0"/>
        <v>0.25</v>
      </c>
      <c r="K47" s="20">
        <f t="shared" si="1"/>
        <v>156668</v>
      </c>
    </row>
    <row r="48" spans="1:11" ht="36.6" hidden="1" customHeight="1" x14ac:dyDescent="0.3">
      <c r="A48" s="6" t="s">
        <v>114</v>
      </c>
      <c r="B48" s="7">
        <v>45523</v>
      </c>
      <c r="C48" s="8" t="str">
        <f>TEXT(Table1[[#This Row],[Order_Date]],"MMM-YYYY")</f>
        <v>Aug-2024</v>
      </c>
      <c r="D48" s="9" t="s">
        <v>10</v>
      </c>
      <c r="E48" s="9" t="s">
        <v>40</v>
      </c>
      <c r="F48" s="9" t="s">
        <v>41</v>
      </c>
      <c r="G48" s="10">
        <v>2006.73</v>
      </c>
      <c r="H48" s="10">
        <v>361.21</v>
      </c>
      <c r="I48" s="9">
        <v>9</v>
      </c>
      <c r="J48" s="11">
        <f t="shared" si="0"/>
        <v>0.17999930234760031</v>
      </c>
      <c r="K48" s="20">
        <f t="shared" si="1"/>
        <v>18060.57</v>
      </c>
    </row>
    <row r="49" spans="1:11" ht="36.6" hidden="1" customHeight="1" x14ac:dyDescent="0.3">
      <c r="A49" s="6" t="s">
        <v>116</v>
      </c>
      <c r="B49" s="7">
        <v>45524</v>
      </c>
      <c r="C49" s="8" t="str">
        <f>TEXT(Table1[[#This Row],[Order_Date]],"MMM-YYYY")</f>
        <v>Aug-2024</v>
      </c>
      <c r="D49" s="9" t="s">
        <v>31</v>
      </c>
      <c r="E49" s="9" t="s">
        <v>23</v>
      </c>
      <c r="F49" s="9" t="s">
        <v>12</v>
      </c>
      <c r="G49" s="10">
        <v>671.05</v>
      </c>
      <c r="H49" s="10">
        <v>201.31</v>
      </c>
      <c r="I49" s="9">
        <v>5</v>
      </c>
      <c r="J49" s="11">
        <f t="shared" si="0"/>
        <v>0.29999254899038824</v>
      </c>
      <c r="K49" s="20">
        <f t="shared" si="1"/>
        <v>3355.25</v>
      </c>
    </row>
    <row r="50" spans="1:11" ht="36.6" customHeight="1" x14ac:dyDescent="0.3">
      <c r="A50" s="24" t="s">
        <v>118</v>
      </c>
      <c r="B50" s="7">
        <v>45525</v>
      </c>
      <c r="C50" s="8" t="str">
        <f>TEXT(Table1[[#This Row],[Order_Date]],"MMM-YYYY")</f>
        <v>Aug-2024</v>
      </c>
      <c r="D50" s="9" t="s">
        <v>31</v>
      </c>
      <c r="E50" s="9" t="s">
        <v>20</v>
      </c>
      <c r="F50" s="9" t="s">
        <v>17</v>
      </c>
      <c r="G50" s="10">
        <v>6964.2</v>
      </c>
      <c r="H50" s="10">
        <v>1671.41</v>
      </c>
      <c r="I50" s="9">
        <v>20</v>
      </c>
      <c r="J50" s="11">
        <f t="shared" si="0"/>
        <v>0.24000028718302177</v>
      </c>
      <c r="K50" s="20">
        <f t="shared" si="1"/>
        <v>139284</v>
      </c>
    </row>
    <row r="51" spans="1:11" ht="36.6" hidden="1" customHeight="1" x14ac:dyDescent="0.3">
      <c r="A51" s="6" t="s">
        <v>119</v>
      </c>
      <c r="B51" s="7">
        <v>45526</v>
      </c>
      <c r="C51" s="8" t="str">
        <f>TEXT(Table1[[#This Row],[Order_Date]],"MMM-YYYY")</f>
        <v>Aug-2024</v>
      </c>
      <c r="D51" s="9" t="s">
        <v>36</v>
      </c>
      <c r="E51" s="9" t="s">
        <v>44</v>
      </c>
      <c r="F51" s="9" t="s">
        <v>17</v>
      </c>
      <c r="G51" s="10">
        <v>1329.1</v>
      </c>
      <c r="H51" s="10">
        <v>372.15</v>
      </c>
      <c r="I51" s="9">
        <v>2</v>
      </c>
      <c r="J51" s="11">
        <f t="shared" si="0"/>
        <v>0.28000150477766911</v>
      </c>
      <c r="K51" s="20">
        <f t="shared" si="1"/>
        <v>2658.2</v>
      </c>
    </row>
    <row r="52" spans="1:11" ht="36.6" hidden="1" customHeight="1" x14ac:dyDescent="0.3">
      <c r="A52" s="6" t="s">
        <v>121</v>
      </c>
      <c r="B52" s="7">
        <v>45527</v>
      </c>
      <c r="C52" s="8" t="str">
        <f>TEXT(Table1[[#This Row],[Order_Date]],"MMM-YYYY")</f>
        <v>Aug-2024</v>
      </c>
      <c r="D52" s="9" t="s">
        <v>31</v>
      </c>
      <c r="E52" s="9" t="s">
        <v>37</v>
      </c>
      <c r="F52" s="9" t="s">
        <v>17</v>
      </c>
      <c r="G52" s="10">
        <v>3867.8</v>
      </c>
      <c r="H52" s="10">
        <v>773.56</v>
      </c>
      <c r="I52" s="9">
        <v>10</v>
      </c>
      <c r="J52" s="11">
        <f t="shared" si="0"/>
        <v>0.19999999999999998</v>
      </c>
      <c r="K52" s="20">
        <f t="shared" si="1"/>
        <v>38678</v>
      </c>
    </row>
    <row r="53" spans="1:11" ht="36.6" hidden="1" customHeight="1" x14ac:dyDescent="0.3">
      <c r="A53" s="6" t="s">
        <v>123</v>
      </c>
      <c r="B53" s="7">
        <v>45528</v>
      </c>
      <c r="C53" s="8" t="str">
        <f>TEXT(Table1[[#This Row],[Order_Date]],"MMM-YYYY")</f>
        <v>Aug-2024</v>
      </c>
      <c r="D53" s="9" t="s">
        <v>31</v>
      </c>
      <c r="E53" s="9" t="s">
        <v>111</v>
      </c>
      <c r="F53" s="9" t="s">
        <v>17</v>
      </c>
      <c r="G53" s="10">
        <v>6119.28</v>
      </c>
      <c r="H53" s="10">
        <v>1346.24</v>
      </c>
      <c r="I53" s="9">
        <v>8</v>
      </c>
      <c r="J53" s="11">
        <f t="shared" si="0"/>
        <v>0.21999973853133051</v>
      </c>
      <c r="K53" s="20">
        <f t="shared" si="1"/>
        <v>48954.239999999998</v>
      </c>
    </row>
    <row r="54" spans="1:11" ht="36.6" hidden="1" customHeight="1" x14ac:dyDescent="0.3">
      <c r="A54" s="6" t="s">
        <v>125</v>
      </c>
      <c r="B54" s="7">
        <v>45529</v>
      </c>
      <c r="C54" s="8" t="str">
        <f>TEXT(Table1[[#This Row],[Order_Date]],"MMM-YYYY")</f>
        <v>Aug-2024</v>
      </c>
      <c r="D54" s="9" t="s">
        <v>36</v>
      </c>
      <c r="E54" s="9" t="s">
        <v>49</v>
      </c>
      <c r="F54" s="9" t="s">
        <v>12</v>
      </c>
      <c r="G54" s="10">
        <v>772.62</v>
      </c>
      <c r="H54" s="10">
        <v>247.24</v>
      </c>
      <c r="I54" s="9">
        <v>6</v>
      </c>
      <c r="J54" s="11">
        <f t="shared" si="0"/>
        <v>0.32000207087572158</v>
      </c>
      <c r="K54" s="20">
        <f t="shared" si="1"/>
        <v>4635.72</v>
      </c>
    </row>
    <row r="55" spans="1:11" ht="36.6" customHeight="1" x14ac:dyDescent="0.3">
      <c r="A55" s="24" t="s">
        <v>127</v>
      </c>
      <c r="B55" s="7">
        <v>45530</v>
      </c>
      <c r="C55" s="8" t="str">
        <f>TEXT(Table1[[#This Row],[Order_Date]],"MMM-YYYY")</f>
        <v>Aug-2024</v>
      </c>
      <c r="D55" s="9" t="s">
        <v>15</v>
      </c>
      <c r="E55" s="9" t="s">
        <v>20</v>
      </c>
      <c r="F55" s="9" t="s">
        <v>17</v>
      </c>
      <c r="G55" s="10">
        <v>353.84</v>
      </c>
      <c r="H55" s="10">
        <v>84.92</v>
      </c>
      <c r="I55" s="9">
        <v>1</v>
      </c>
      <c r="J55" s="11">
        <f t="shared" si="0"/>
        <v>0.23999547818222927</v>
      </c>
      <c r="K55" s="20">
        <f t="shared" si="1"/>
        <v>353.84</v>
      </c>
    </row>
    <row r="56" spans="1:11" ht="36.6" hidden="1" customHeight="1" x14ac:dyDescent="0.3">
      <c r="A56" s="6" t="s">
        <v>129</v>
      </c>
      <c r="B56" s="7">
        <v>45531</v>
      </c>
      <c r="C56" s="8" t="str">
        <f>TEXT(Table1[[#This Row],[Order_Date]],"MMM-YYYY")</f>
        <v>Aug-2024</v>
      </c>
      <c r="D56" s="9" t="s">
        <v>31</v>
      </c>
      <c r="E56" s="9" t="s">
        <v>44</v>
      </c>
      <c r="F56" s="9" t="s">
        <v>17</v>
      </c>
      <c r="G56" s="10">
        <v>6856.33</v>
      </c>
      <c r="H56" s="10">
        <v>1919.77</v>
      </c>
      <c r="I56" s="9">
        <v>13</v>
      </c>
      <c r="J56" s="11">
        <f t="shared" si="0"/>
        <v>0.27999964995850551</v>
      </c>
      <c r="K56" s="20">
        <f t="shared" si="1"/>
        <v>89132.29</v>
      </c>
    </row>
    <row r="57" spans="1:11" ht="36.6" hidden="1" customHeight="1" x14ac:dyDescent="0.3">
      <c r="A57" s="6" t="s">
        <v>131</v>
      </c>
      <c r="B57" s="7">
        <v>45532</v>
      </c>
      <c r="C57" s="8" t="str">
        <f>TEXT(Table1[[#This Row],[Order_Date]],"MMM-YYYY")</f>
        <v>Aug-2024</v>
      </c>
      <c r="D57" s="9" t="s">
        <v>31</v>
      </c>
      <c r="E57" s="9" t="s">
        <v>16</v>
      </c>
      <c r="F57" s="9" t="s">
        <v>17</v>
      </c>
      <c r="G57" s="10">
        <v>7808.16</v>
      </c>
      <c r="H57" s="10">
        <v>1952.04</v>
      </c>
      <c r="I57" s="9">
        <v>16</v>
      </c>
      <c r="J57" s="11">
        <f t="shared" si="0"/>
        <v>0.25</v>
      </c>
      <c r="K57" s="20">
        <f t="shared" si="1"/>
        <v>124930.56</v>
      </c>
    </row>
    <row r="58" spans="1:11" ht="36.6" hidden="1" customHeight="1" x14ac:dyDescent="0.3">
      <c r="A58" s="6" t="s">
        <v>133</v>
      </c>
      <c r="B58" s="7">
        <v>45533</v>
      </c>
      <c r="C58" s="8" t="str">
        <f>TEXT(Table1[[#This Row],[Order_Date]],"MMM-YYYY")</f>
        <v>Aug-2024</v>
      </c>
      <c r="D58" s="9" t="s">
        <v>31</v>
      </c>
      <c r="E58" s="9" t="s">
        <v>44</v>
      </c>
      <c r="F58" s="9" t="s">
        <v>17</v>
      </c>
      <c r="G58" s="10">
        <v>10510.08</v>
      </c>
      <c r="H58" s="10">
        <v>2942.82</v>
      </c>
      <c r="I58" s="9">
        <v>16</v>
      </c>
      <c r="J58" s="11">
        <f t="shared" si="0"/>
        <v>0.27999977164778955</v>
      </c>
      <c r="K58" s="20">
        <f t="shared" si="1"/>
        <v>168161.28</v>
      </c>
    </row>
    <row r="59" spans="1:11" ht="36.6" customHeight="1" x14ac:dyDescent="0.3">
      <c r="A59" s="24" t="s">
        <v>135</v>
      </c>
      <c r="B59" s="7">
        <v>45534</v>
      </c>
      <c r="C59" s="8" t="str">
        <f>TEXT(Table1[[#This Row],[Order_Date]],"MMM-YYYY")</f>
        <v>Aug-2024</v>
      </c>
      <c r="D59" s="9" t="s">
        <v>15</v>
      </c>
      <c r="E59" s="9" t="s">
        <v>20</v>
      </c>
      <c r="F59" s="9" t="s">
        <v>17</v>
      </c>
      <c r="G59" s="10">
        <v>7436.79</v>
      </c>
      <c r="H59" s="10">
        <v>1784.83</v>
      </c>
      <c r="I59" s="9">
        <v>19</v>
      </c>
      <c r="J59" s="11">
        <f t="shared" si="0"/>
        <v>0.24000005378664718</v>
      </c>
      <c r="K59" s="20">
        <f t="shared" si="1"/>
        <v>141299.01</v>
      </c>
    </row>
    <row r="60" spans="1:11" ht="36.6" hidden="1" customHeight="1" x14ac:dyDescent="0.3">
      <c r="A60" s="6" t="s">
        <v>137</v>
      </c>
      <c r="B60" s="7">
        <v>45535</v>
      </c>
      <c r="C60" s="8" t="str">
        <f>TEXT(Table1[[#This Row],[Order_Date]],"MMM-YYYY")</f>
        <v>Aug-2024</v>
      </c>
      <c r="D60" s="9" t="s">
        <v>15</v>
      </c>
      <c r="E60" s="9" t="s">
        <v>26</v>
      </c>
      <c r="F60" s="9" t="s">
        <v>12</v>
      </c>
      <c r="G60" s="10">
        <v>46.74</v>
      </c>
      <c r="H60" s="10">
        <v>17.760000000000002</v>
      </c>
      <c r="I60" s="9">
        <v>1</v>
      </c>
      <c r="J60" s="11">
        <f t="shared" si="0"/>
        <v>0.37997432605905007</v>
      </c>
      <c r="K60" s="20">
        <f t="shared" si="1"/>
        <v>46.74</v>
      </c>
    </row>
    <row r="61" spans="1:11" ht="36.6" hidden="1" customHeight="1" x14ac:dyDescent="0.3">
      <c r="A61" s="6" t="s">
        <v>139</v>
      </c>
      <c r="B61" s="7">
        <v>45536</v>
      </c>
      <c r="C61" s="8" t="str">
        <f>TEXT(Table1[[#This Row],[Order_Date]],"MMM-YYYY")</f>
        <v>Sep-2024</v>
      </c>
      <c r="D61" s="9" t="s">
        <v>10</v>
      </c>
      <c r="E61" s="9" t="s">
        <v>23</v>
      </c>
      <c r="F61" s="9" t="s">
        <v>12</v>
      </c>
      <c r="G61" s="10">
        <v>419.79</v>
      </c>
      <c r="H61" s="10">
        <v>125.94</v>
      </c>
      <c r="I61" s="9">
        <v>3</v>
      </c>
      <c r="J61" s="11">
        <f t="shared" si="0"/>
        <v>0.30000714643035803</v>
      </c>
      <c r="K61" s="20">
        <f t="shared" si="1"/>
        <v>1259.3700000000001</v>
      </c>
    </row>
    <row r="62" spans="1:11" ht="36.6" hidden="1" customHeight="1" x14ac:dyDescent="0.3">
      <c r="A62" s="6" t="s">
        <v>141</v>
      </c>
      <c r="B62" s="7">
        <v>45537</v>
      </c>
      <c r="C62" s="8" t="str">
        <f>TEXT(Table1[[#This Row],[Order_Date]],"MMM-YYYY")</f>
        <v>Sep-2024</v>
      </c>
      <c r="D62" s="9" t="s">
        <v>15</v>
      </c>
      <c r="E62" s="9" t="s">
        <v>26</v>
      </c>
      <c r="F62" s="9" t="s">
        <v>12</v>
      </c>
      <c r="G62" s="10">
        <v>1060.4000000000001</v>
      </c>
      <c r="H62" s="10">
        <v>402.95</v>
      </c>
      <c r="I62" s="9">
        <v>20</v>
      </c>
      <c r="J62" s="11">
        <f t="shared" si="0"/>
        <v>0.37999811391927568</v>
      </c>
      <c r="K62" s="20">
        <f t="shared" si="1"/>
        <v>21208</v>
      </c>
    </row>
    <row r="63" spans="1:11" ht="36.6" hidden="1" customHeight="1" x14ac:dyDescent="0.3">
      <c r="A63" s="6" t="s">
        <v>143</v>
      </c>
      <c r="B63" s="7">
        <v>45538</v>
      </c>
      <c r="C63" s="8" t="str">
        <f>TEXT(Table1[[#This Row],[Order_Date]],"MMM-YYYY")</f>
        <v>Sep-2024</v>
      </c>
      <c r="D63" s="9" t="s">
        <v>15</v>
      </c>
      <c r="E63" s="9" t="s">
        <v>37</v>
      </c>
      <c r="F63" s="9" t="s">
        <v>17</v>
      </c>
      <c r="G63" s="10">
        <v>2564.2399999999998</v>
      </c>
      <c r="H63" s="10">
        <v>512.85</v>
      </c>
      <c r="I63" s="9">
        <v>7</v>
      </c>
      <c r="J63" s="11">
        <f t="shared" si="0"/>
        <v>0.20000077995819426</v>
      </c>
      <c r="K63" s="20">
        <f t="shared" si="1"/>
        <v>17949.68</v>
      </c>
    </row>
    <row r="64" spans="1:11" ht="36.6" hidden="1" customHeight="1" x14ac:dyDescent="0.3">
      <c r="A64" s="6" t="s">
        <v>145</v>
      </c>
      <c r="B64" s="7">
        <v>45539</v>
      </c>
      <c r="C64" s="8" t="str">
        <f>TEXT(Table1[[#This Row],[Order_Date]],"MMM-YYYY")</f>
        <v>Sep-2024</v>
      </c>
      <c r="D64" s="9" t="s">
        <v>15</v>
      </c>
      <c r="E64" s="9" t="s">
        <v>11</v>
      </c>
      <c r="F64" s="9" t="s">
        <v>12</v>
      </c>
      <c r="G64" s="10">
        <v>567.20000000000005</v>
      </c>
      <c r="H64" s="10">
        <v>198.52</v>
      </c>
      <c r="I64" s="9">
        <v>8</v>
      </c>
      <c r="J64" s="11">
        <f t="shared" si="0"/>
        <v>0.35</v>
      </c>
      <c r="K64" s="20">
        <f t="shared" si="1"/>
        <v>4537.6000000000004</v>
      </c>
    </row>
    <row r="65" spans="1:11" ht="36.6" hidden="1" customHeight="1" x14ac:dyDescent="0.3">
      <c r="A65" s="6" t="s">
        <v>147</v>
      </c>
      <c r="B65" s="7">
        <v>45540</v>
      </c>
      <c r="C65" s="8" t="str">
        <f>TEXT(Table1[[#This Row],[Order_Date]],"MMM-YYYY")</f>
        <v>Sep-2024</v>
      </c>
      <c r="D65" s="9" t="s">
        <v>31</v>
      </c>
      <c r="E65" s="9" t="s">
        <v>23</v>
      </c>
      <c r="F65" s="9" t="s">
        <v>12</v>
      </c>
      <c r="G65" s="10">
        <v>1430.77</v>
      </c>
      <c r="H65" s="10">
        <v>429.23</v>
      </c>
      <c r="I65" s="9">
        <v>11</v>
      </c>
      <c r="J65" s="11">
        <f t="shared" si="0"/>
        <v>0.2999993010756446</v>
      </c>
      <c r="K65" s="20">
        <f t="shared" si="1"/>
        <v>15738.47</v>
      </c>
    </row>
    <row r="66" spans="1:11" ht="36.6" hidden="1" customHeight="1" x14ac:dyDescent="0.3">
      <c r="A66" s="6" t="s">
        <v>149</v>
      </c>
      <c r="B66" s="7">
        <v>45541</v>
      </c>
      <c r="C66" s="8" t="str">
        <f>TEXT(Table1[[#This Row],[Order_Date]],"MMM-YYYY")</f>
        <v>Sep-2024</v>
      </c>
      <c r="D66" s="9" t="s">
        <v>10</v>
      </c>
      <c r="E66" s="9" t="s">
        <v>111</v>
      </c>
      <c r="F66" s="9" t="s">
        <v>17</v>
      </c>
      <c r="G66" s="10">
        <v>2860.14</v>
      </c>
      <c r="H66" s="10">
        <v>629.23</v>
      </c>
      <c r="I66" s="9">
        <v>3</v>
      </c>
      <c r="J66" s="11">
        <f t="shared" si="0"/>
        <v>0.21999972029341222</v>
      </c>
      <c r="K66" s="20">
        <f t="shared" si="1"/>
        <v>8580.42</v>
      </c>
    </row>
    <row r="67" spans="1:11" ht="36.6" hidden="1" customHeight="1" x14ac:dyDescent="0.3">
      <c r="A67" s="6" t="s">
        <v>151</v>
      </c>
      <c r="B67" s="7">
        <v>45542</v>
      </c>
      <c r="C67" s="8" t="str">
        <f>TEXT(Table1[[#This Row],[Order_Date]],"MMM-YYYY")</f>
        <v>Sep-2024</v>
      </c>
      <c r="D67" s="9" t="s">
        <v>10</v>
      </c>
      <c r="E67" s="9" t="s">
        <v>11</v>
      </c>
      <c r="F67" s="9" t="s">
        <v>12</v>
      </c>
      <c r="G67" s="10">
        <v>500.78</v>
      </c>
      <c r="H67" s="10">
        <v>175.27</v>
      </c>
      <c r="I67" s="9">
        <v>7</v>
      </c>
      <c r="J67" s="11">
        <f t="shared" ref="J67:J130" si="2">H67/G67</f>
        <v>0.34999400934542119</v>
      </c>
      <c r="K67" s="20">
        <f t="shared" ref="K67:K130" si="3">I67*G67</f>
        <v>3505.46</v>
      </c>
    </row>
    <row r="68" spans="1:11" ht="36.6" hidden="1" customHeight="1" x14ac:dyDescent="0.3">
      <c r="A68" s="6" t="s">
        <v>152</v>
      </c>
      <c r="B68" s="7">
        <v>45543</v>
      </c>
      <c r="C68" s="8" t="str">
        <f>TEXT(Table1[[#This Row],[Order_Date]],"MMM-YYYY")</f>
        <v>Sep-2024</v>
      </c>
      <c r="D68" s="9" t="s">
        <v>36</v>
      </c>
      <c r="E68" s="9" t="s">
        <v>44</v>
      </c>
      <c r="F68" s="9" t="s">
        <v>17</v>
      </c>
      <c r="G68" s="10">
        <v>1828.11</v>
      </c>
      <c r="H68" s="10">
        <v>511.87</v>
      </c>
      <c r="I68" s="9">
        <v>3</v>
      </c>
      <c r="J68" s="11">
        <f t="shared" si="2"/>
        <v>0.27999956238957174</v>
      </c>
      <c r="K68" s="20">
        <f t="shared" si="3"/>
        <v>5484.33</v>
      </c>
    </row>
    <row r="69" spans="1:11" ht="36.6" hidden="1" customHeight="1" x14ac:dyDescent="0.3">
      <c r="A69" s="6" t="s">
        <v>154</v>
      </c>
      <c r="B69" s="7">
        <v>45544</v>
      </c>
      <c r="C69" s="8" t="str">
        <f>TEXT(Table1[[#This Row],[Order_Date]],"MMM-YYYY")</f>
        <v>Sep-2024</v>
      </c>
      <c r="D69" s="9" t="s">
        <v>36</v>
      </c>
      <c r="E69" s="9" t="s">
        <v>11</v>
      </c>
      <c r="F69" s="9" t="s">
        <v>12</v>
      </c>
      <c r="G69" s="10">
        <v>792.36</v>
      </c>
      <c r="H69" s="10">
        <v>277.33</v>
      </c>
      <c r="I69" s="9">
        <v>9</v>
      </c>
      <c r="J69" s="11">
        <f t="shared" si="2"/>
        <v>0.3500050482104094</v>
      </c>
      <c r="K69" s="20">
        <f t="shared" si="3"/>
        <v>7131.24</v>
      </c>
    </row>
    <row r="70" spans="1:11" ht="36.6" hidden="1" customHeight="1" x14ac:dyDescent="0.3">
      <c r="A70" s="6" t="s">
        <v>156</v>
      </c>
      <c r="B70" s="7">
        <v>45545</v>
      </c>
      <c r="C70" s="8" t="str">
        <f>TEXT(Table1[[#This Row],[Order_Date]],"MMM-YYYY")</f>
        <v>Sep-2024</v>
      </c>
      <c r="D70" s="9" t="s">
        <v>10</v>
      </c>
      <c r="E70" s="9" t="s">
        <v>49</v>
      </c>
      <c r="F70" s="9" t="s">
        <v>12</v>
      </c>
      <c r="G70" s="10">
        <v>2026.5</v>
      </c>
      <c r="H70" s="10">
        <v>648.48</v>
      </c>
      <c r="I70" s="9">
        <v>15</v>
      </c>
      <c r="J70" s="11">
        <f t="shared" si="2"/>
        <v>0.32</v>
      </c>
      <c r="K70" s="20">
        <f t="shared" si="3"/>
        <v>30397.5</v>
      </c>
    </row>
    <row r="71" spans="1:11" ht="36.6" customHeight="1" x14ac:dyDescent="0.3">
      <c r="A71" s="24" t="s">
        <v>158</v>
      </c>
      <c r="B71" s="7">
        <v>45546</v>
      </c>
      <c r="C71" s="8" t="str">
        <f>TEXT(Table1[[#This Row],[Order_Date]],"MMM-YYYY")</f>
        <v>Sep-2024</v>
      </c>
      <c r="D71" s="9" t="s">
        <v>15</v>
      </c>
      <c r="E71" s="9" t="s">
        <v>20</v>
      </c>
      <c r="F71" s="9" t="s">
        <v>17</v>
      </c>
      <c r="G71" s="10">
        <v>5307.96</v>
      </c>
      <c r="H71" s="10">
        <v>1273.9100000000001</v>
      </c>
      <c r="I71" s="9">
        <v>14</v>
      </c>
      <c r="J71" s="11">
        <f t="shared" si="2"/>
        <v>0.23999992464148187</v>
      </c>
      <c r="K71" s="20">
        <f t="shared" si="3"/>
        <v>74311.44</v>
      </c>
    </row>
    <row r="72" spans="1:11" ht="36.6" customHeight="1" x14ac:dyDescent="0.3">
      <c r="A72" s="24" t="s">
        <v>160</v>
      </c>
      <c r="B72" s="7">
        <v>45547</v>
      </c>
      <c r="C72" s="8" t="str">
        <f>TEXT(Table1[[#This Row],[Order_Date]],"MMM-YYYY")</f>
        <v>Sep-2024</v>
      </c>
      <c r="D72" s="9" t="s">
        <v>10</v>
      </c>
      <c r="E72" s="9" t="s">
        <v>20</v>
      </c>
      <c r="F72" s="9" t="s">
        <v>17</v>
      </c>
      <c r="G72" s="10">
        <v>7026.12</v>
      </c>
      <c r="H72" s="10">
        <v>1686.27</v>
      </c>
      <c r="I72" s="9">
        <v>18</v>
      </c>
      <c r="J72" s="11">
        <f t="shared" si="2"/>
        <v>0.24000017079127597</v>
      </c>
      <c r="K72" s="20">
        <f t="shared" si="3"/>
        <v>126470.16</v>
      </c>
    </row>
    <row r="73" spans="1:11" ht="36.6" hidden="1" customHeight="1" x14ac:dyDescent="0.3">
      <c r="A73" s="6" t="s">
        <v>162</v>
      </c>
      <c r="B73" s="7">
        <v>45548</v>
      </c>
      <c r="C73" s="8" t="str">
        <f>TEXT(Table1[[#This Row],[Order_Date]],"MMM-YYYY")</f>
        <v>Sep-2024</v>
      </c>
      <c r="D73" s="9" t="s">
        <v>31</v>
      </c>
      <c r="E73" s="9" t="s">
        <v>26</v>
      </c>
      <c r="F73" s="9" t="s">
        <v>12</v>
      </c>
      <c r="G73" s="10">
        <v>1021.68</v>
      </c>
      <c r="H73" s="10">
        <v>388.24</v>
      </c>
      <c r="I73" s="9">
        <v>18</v>
      </c>
      <c r="J73" s="11">
        <f t="shared" si="2"/>
        <v>0.38000156604807772</v>
      </c>
      <c r="K73" s="20">
        <f t="shared" si="3"/>
        <v>18390.239999999998</v>
      </c>
    </row>
    <row r="74" spans="1:11" ht="36.6" hidden="1" customHeight="1" x14ac:dyDescent="0.3">
      <c r="A74" s="6" t="s">
        <v>164</v>
      </c>
      <c r="B74" s="7">
        <v>45549</v>
      </c>
      <c r="C74" s="8" t="str">
        <f>TEXT(Table1[[#This Row],[Order_Date]],"MMM-YYYY")</f>
        <v>Sep-2024</v>
      </c>
      <c r="D74" s="9" t="s">
        <v>15</v>
      </c>
      <c r="E74" s="9" t="s">
        <v>111</v>
      </c>
      <c r="F74" s="9" t="s">
        <v>17</v>
      </c>
      <c r="G74" s="10">
        <v>11639.52</v>
      </c>
      <c r="H74" s="10">
        <v>2560.69</v>
      </c>
      <c r="I74" s="9">
        <v>16</v>
      </c>
      <c r="J74" s="11">
        <f t="shared" si="2"/>
        <v>0.21999962197753858</v>
      </c>
      <c r="K74" s="20">
        <f t="shared" si="3"/>
        <v>186232.32000000001</v>
      </c>
    </row>
    <row r="75" spans="1:11" ht="36.6" hidden="1" customHeight="1" x14ac:dyDescent="0.3">
      <c r="A75" s="6" t="s">
        <v>166</v>
      </c>
      <c r="B75" s="7">
        <v>45550</v>
      </c>
      <c r="C75" s="8" t="str">
        <f>TEXT(Table1[[#This Row],[Order_Date]],"MMM-YYYY")</f>
        <v>Sep-2024</v>
      </c>
      <c r="D75" s="9" t="s">
        <v>10</v>
      </c>
      <c r="E75" s="9" t="s">
        <v>44</v>
      </c>
      <c r="F75" s="9" t="s">
        <v>17</v>
      </c>
      <c r="G75" s="10">
        <v>11542.32</v>
      </c>
      <c r="H75" s="10">
        <v>3231.85</v>
      </c>
      <c r="I75" s="9">
        <v>18</v>
      </c>
      <c r="J75" s="11">
        <f t="shared" si="2"/>
        <v>0.280000034655078</v>
      </c>
      <c r="K75" s="20">
        <f t="shared" si="3"/>
        <v>207761.76</v>
      </c>
    </row>
    <row r="76" spans="1:11" ht="36.6" hidden="1" customHeight="1" x14ac:dyDescent="0.3">
      <c r="A76" s="6" t="s">
        <v>168</v>
      </c>
      <c r="B76" s="7">
        <v>45551</v>
      </c>
      <c r="C76" s="8" t="str">
        <f>TEXT(Table1[[#This Row],[Order_Date]],"MMM-YYYY")</f>
        <v>Sep-2024</v>
      </c>
      <c r="D76" s="9" t="s">
        <v>31</v>
      </c>
      <c r="E76" s="9" t="s">
        <v>37</v>
      </c>
      <c r="F76" s="9" t="s">
        <v>17</v>
      </c>
      <c r="G76" s="10">
        <v>2375.38</v>
      </c>
      <c r="H76" s="10">
        <v>475.08</v>
      </c>
      <c r="I76" s="9">
        <v>7</v>
      </c>
      <c r="J76" s="11">
        <f t="shared" si="2"/>
        <v>0.20000168394109571</v>
      </c>
      <c r="K76" s="20">
        <f t="shared" si="3"/>
        <v>16627.66</v>
      </c>
    </row>
    <row r="77" spans="1:11" ht="36.6" hidden="1" customHeight="1" x14ac:dyDescent="0.3">
      <c r="A77" s="6" t="s">
        <v>170</v>
      </c>
      <c r="B77" s="7">
        <v>45552</v>
      </c>
      <c r="C77" s="8" t="str">
        <f>TEXT(Table1[[#This Row],[Order_Date]],"MMM-YYYY")</f>
        <v>Sep-2024</v>
      </c>
      <c r="D77" s="9" t="s">
        <v>36</v>
      </c>
      <c r="E77" s="9" t="s">
        <v>49</v>
      </c>
      <c r="F77" s="9" t="s">
        <v>12</v>
      </c>
      <c r="G77" s="10">
        <v>470.44</v>
      </c>
      <c r="H77" s="10">
        <v>150.54</v>
      </c>
      <c r="I77" s="9">
        <v>4</v>
      </c>
      <c r="J77" s="11">
        <f t="shared" si="2"/>
        <v>0.31999829946433123</v>
      </c>
      <c r="K77" s="20">
        <f t="shared" si="3"/>
        <v>1881.76</v>
      </c>
    </row>
    <row r="78" spans="1:11" ht="36.6" hidden="1" customHeight="1" x14ac:dyDescent="0.3">
      <c r="A78" s="6" t="s">
        <v>172</v>
      </c>
      <c r="B78" s="7">
        <v>45553</v>
      </c>
      <c r="C78" s="8" t="str">
        <f>TEXT(Table1[[#This Row],[Order_Date]],"MMM-YYYY")</f>
        <v>Sep-2024</v>
      </c>
      <c r="D78" s="9" t="s">
        <v>31</v>
      </c>
      <c r="E78" s="9" t="s">
        <v>111</v>
      </c>
      <c r="F78" s="9" t="s">
        <v>17</v>
      </c>
      <c r="G78" s="10">
        <v>6186.72</v>
      </c>
      <c r="H78" s="10">
        <v>1361.08</v>
      </c>
      <c r="I78" s="9">
        <v>8</v>
      </c>
      <c r="J78" s="11">
        <f t="shared" si="2"/>
        <v>0.22000025861846018</v>
      </c>
      <c r="K78" s="20">
        <f t="shared" si="3"/>
        <v>49493.760000000002</v>
      </c>
    </row>
    <row r="79" spans="1:11" ht="36.6" hidden="1" customHeight="1" x14ac:dyDescent="0.3">
      <c r="A79" s="6" t="s">
        <v>174</v>
      </c>
      <c r="B79" s="7">
        <v>45554</v>
      </c>
      <c r="C79" s="8" t="str">
        <f>TEXT(Table1[[#This Row],[Order_Date]],"MMM-YYYY")</f>
        <v>Sep-2024</v>
      </c>
      <c r="D79" s="9" t="s">
        <v>15</v>
      </c>
      <c r="E79" s="9" t="s">
        <v>26</v>
      </c>
      <c r="F79" s="9" t="s">
        <v>12</v>
      </c>
      <c r="G79" s="10">
        <v>722.26</v>
      </c>
      <c r="H79" s="10">
        <v>274.45999999999998</v>
      </c>
      <c r="I79" s="9">
        <v>14</v>
      </c>
      <c r="J79" s="11">
        <f t="shared" si="2"/>
        <v>0.38000166145155484</v>
      </c>
      <c r="K79" s="20">
        <f t="shared" si="3"/>
        <v>10111.64</v>
      </c>
    </row>
    <row r="80" spans="1:11" ht="36.6" hidden="1" customHeight="1" x14ac:dyDescent="0.3">
      <c r="A80" s="6" t="s">
        <v>176</v>
      </c>
      <c r="B80" s="7">
        <v>45555</v>
      </c>
      <c r="C80" s="8" t="str">
        <f>TEXT(Table1[[#This Row],[Order_Date]],"MMM-YYYY")</f>
        <v>Sep-2024</v>
      </c>
      <c r="D80" s="9" t="s">
        <v>15</v>
      </c>
      <c r="E80" s="9" t="s">
        <v>11</v>
      </c>
      <c r="F80" s="9" t="s">
        <v>12</v>
      </c>
      <c r="G80" s="10">
        <v>703.52</v>
      </c>
      <c r="H80" s="10">
        <v>246.23</v>
      </c>
      <c r="I80" s="9">
        <v>8</v>
      </c>
      <c r="J80" s="11">
        <f t="shared" si="2"/>
        <v>0.34999715715260404</v>
      </c>
      <c r="K80" s="20">
        <f t="shared" si="3"/>
        <v>5628.16</v>
      </c>
    </row>
    <row r="81" spans="1:11" ht="36.6" customHeight="1" x14ac:dyDescent="0.3">
      <c r="A81" s="24" t="s">
        <v>178</v>
      </c>
      <c r="B81" s="7">
        <v>45556</v>
      </c>
      <c r="C81" s="8" t="str">
        <f>TEXT(Table1[[#This Row],[Order_Date]],"MMM-YYYY")</f>
        <v>Sep-2024</v>
      </c>
      <c r="D81" s="9" t="s">
        <v>10</v>
      </c>
      <c r="E81" s="9" t="s">
        <v>20</v>
      </c>
      <c r="F81" s="9" t="s">
        <v>17</v>
      </c>
      <c r="G81" s="10">
        <v>4852.54</v>
      </c>
      <c r="H81" s="10">
        <v>1164.6099999999999</v>
      </c>
      <c r="I81" s="9">
        <v>11</v>
      </c>
      <c r="J81" s="11">
        <f t="shared" si="2"/>
        <v>0.24000008243105669</v>
      </c>
      <c r="K81" s="20">
        <f t="shared" si="3"/>
        <v>53377.94</v>
      </c>
    </row>
    <row r="82" spans="1:11" ht="36.6" hidden="1" customHeight="1" x14ac:dyDescent="0.3">
      <c r="A82" s="6" t="s">
        <v>179</v>
      </c>
      <c r="B82" s="7">
        <v>45557</v>
      </c>
      <c r="C82" s="8" t="str">
        <f>TEXT(Table1[[#This Row],[Order_Date]],"MMM-YYYY")</f>
        <v>Sep-2024</v>
      </c>
      <c r="D82" s="9" t="s">
        <v>31</v>
      </c>
      <c r="E82" s="9" t="s">
        <v>111</v>
      </c>
      <c r="F82" s="9" t="s">
        <v>17</v>
      </c>
      <c r="G82" s="10">
        <v>13075.72</v>
      </c>
      <c r="H82" s="10">
        <v>2876.66</v>
      </c>
      <c r="I82" s="9">
        <v>14</v>
      </c>
      <c r="J82" s="11">
        <f t="shared" si="2"/>
        <v>0.22000012236419869</v>
      </c>
      <c r="K82" s="20">
        <f t="shared" si="3"/>
        <v>183060.08</v>
      </c>
    </row>
    <row r="83" spans="1:11" ht="36.6" hidden="1" customHeight="1" x14ac:dyDescent="0.3">
      <c r="A83" s="6" t="s">
        <v>181</v>
      </c>
      <c r="B83" s="7">
        <v>45558</v>
      </c>
      <c r="C83" s="8" t="str">
        <f>TEXT(Table1[[#This Row],[Order_Date]],"MMM-YYYY")</f>
        <v>Sep-2024</v>
      </c>
      <c r="D83" s="9" t="s">
        <v>36</v>
      </c>
      <c r="E83" s="9" t="s">
        <v>11</v>
      </c>
      <c r="F83" s="9" t="s">
        <v>12</v>
      </c>
      <c r="G83" s="10">
        <v>632.03</v>
      </c>
      <c r="H83" s="10">
        <v>221.21</v>
      </c>
      <c r="I83" s="9">
        <v>7</v>
      </c>
      <c r="J83" s="11">
        <f t="shared" si="2"/>
        <v>0.34999920889831182</v>
      </c>
      <c r="K83" s="20">
        <f t="shared" si="3"/>
        <v>4424.21</v>
      </c>
    </row>
    <row r="84" spans="1:11" ht="36.6" hidden="1" customHeight="1" x14ac:dyDescent="0.3">
      <c r="A84" s="6" t="s">
        <v>182</v>
      </c>
      <c r="B84" s="7">
        <v>45559</v>
      </c>
      <c r="C84" s="8" t="str">
        <f>TEXT(Table1[[#This Row],[Order_Date]],"MMM-YYYY")</f>
        <v>Sep-2024</v>
      </c>
      <c r="D84" s="9" t="s">
        <v>31</v>
      </c>
      <c r="E84" s="9" t="s">
        <v>44</v>
      </c>
      <c r="F84" s="9" t="s">
        <v>17</v>
      </c>
      <c r="G84" s="10">
        <v>11133.05</v>
      </c>
      <c r="H84" s="10">
        <v>3117.25</v>
      </c>
      <c r="I84" s="9">
        <v>19</v>
      </c>
      <c r="J84" s="11">
        <f t="shared" si="2"/>
        <v>0.2799996407094193</v>
      </c>
      <c r="K84" s="20">
        <f t="shared" si="3"/>
        <v>211527.94999999998</v>
      </c>
    </row>
    <row r="85" spans="1:11" ht="36.6" hidden="1" customHeight="1" x14ac:dyDescent="0.3">
      <c r="A85" s="6" t="s">
        <v>183</v>
      </c>
      <c r="B85" s="7">
        <v>45560</v>
      </c>
      <c r="C85" s="8" t="str">
        <f>TEXT(Table1[[#This Row],[Order_Date]],"MMM-YYYY")</f>
        <v>Sep-2024</v>
      </c>
      <c r="D85" s="9" t="s">
        <v>36</v>
      </c>
      <c r="E85" s="9" t="s">
        <v>11</v>
      </c>
      <c r="F85" s="9" t="s">
        <v>12</v>
      </c>
      <c r="G85" s="10">
        <v>1176.75</v>
      </c>
      <c r="H85" s="10">
        <v>411.86</v>
      </c>
      <c r="I85" s="9">
        <v>15</v>
      </c>
      <c r="J85" s="11">
        <f t="shared" si="2"/>
        <v>0.34999787550456768</v>
      </c>
      <c r="K85" s="20">
        <f t="shared" si="3"/>
        <v>17651.25</v>
      </c>
    </row>
    <row r="86" spans="1:11" ht="36.6" hidden="1" customHeight="1" x14ac:dyDescent="0.3">
      <c r="A86" s="6" t="s">
        <v>185</v>
      </c>
      <c r="B86" s="7">
        <v>45561</v>
      </c>
      <c r="C86" s="8" t="str">
        <f>TEXT(Table1[[#This Row],[Order_Date]],"MMM-YYYY")</f>
        <v>Sep-2024</v>
      </c>
      <c r="D86" s="9" t="s">
        <v>15</v>
      </c>
      <c r="E86" s="9" t="s">
        <v>26</v>
      </c>
      <c r="F86" s="9" t="s">
        <v>12</v>
      </c>
      <c r="G86" s="10">
        <v>43.87</v>
      </c>
      <c r="H86" s="10">
        <v>16.670000000000002</v>
      </c>
      <c r="I86" s="9">
        <v>1</v>
      </c>
      <c r="J86" s="11">
        <f t="shared" si="2"/>
        <v>0.3799863232277183</v>
      </c>
      <c r="K86" s="20">
        <f t="shared" si="3"/>
        <v>43.87</v>
      </c>
    </row>
    <row r="87" spans="1:11" ht="36.6" hidden="1" customHeight="1" x14ac:dyDescent="0.3">
      <c r="A87" s="6" t="s">
        <v>187</v>
      </c>
      <c r="B87" s="7">
        <v>45562</v>
      </c>
      <c r="C87" s="8" t="str">
        <f>TEXT(Table1[[#This Row],[Order_Date]],"MMM-YYYY")</f>
        <v>Sep-2024</v>
      </c>
      <c r="D87" s="9" t="s">
        <v>10</v>
      </c>
      <c r="E87" s="9" t="s">
        <v>11</v>
      </c>
      <c r="F87" s="9" t="s">
        <v>12</v>
      </c>
      <c r="G87" s="10">
        <v>684.54</v>
      </c>
      <c r="H87" s="10">
        <v>239.59</v>
      </c>
      <c r="I87" s="9">
        <v>9</v>
      </c>
      <c r="J87" s="11">
        <f t="shared" si="2"/>
        <v>0.35000146083501332</v>
      </c>
      <c r="K87" s="20">
        <f t="shared" si="3"/>
        <v>6160.86</v>
      </c>
    </row>
    <row r="88" spans="1:11" ht="36.6" hidden="1" customHeight="1" x14ac:dyDescent="0.3">
      <c r="A88" s="6" t="s">
        <v>189</v>
      </c>
      <c r="B88" s="7">
        <v>45563</v>
      </c>
      <c r="C88" s="8" t="str">
        <f>TEXT(Table1[[#This Row],[Order_Date]],"MMM-YYYY")</f>
        <v>Sep-2024</v>
      </c>
      <c r="D88" s="9" t="s">
        <v>31</v>
      </c>
      <c r="E88" s="9" t="s">
        <v>111</v>
      </c>
      <c r="F88" s="9" t="s">
        <v>17</v>
      </c>
      <c r="G88" s="10">
        <v>2890.47</v>
      </c>
      <c r="H88" s="10">
        <v>635.9</v>
      </c>
      <c r="I88" s="9">
        <v>3</v>
      </c>
      <c r="J88" s="11">
        <f t="shared" si="2"/>
        <v>0.21999882372070978</v>
      </c>
      <c r="K88" s="20">
        <f t="shared" si="3"/>
        <v>8671.41</v>
      </c>
    </row>
    <row r="89" spans="1:11" ht="36.6" hidden="1" customHeight="1" x14ac:dyDescent="0.3">
      <c r="A89" s="6" t="s">
        <v>190</v>
      </c>
      <c r="B89" s="7">
        <v>45564</v>
      </c>
      <c r="C89" s="8" t="str">
        <f>TEXT(Table1[[#This Row],[Order_Date]],"MMM-YYYY")</f>
        <v>Sep-2024</v>
      </c>
      <c r="D89" s="9" t="s">
        <v>36</v>
      </c>
      <c r="E89" s="9" t="s">
        <v>26</v>
      </c>
      <c r="F89" s="9" t="s">
        <v>12</v>
      </c>
      <c r="G89" s="10">
        <v>808.5</v>
      </c>
      <c r="H89" s="10">
        <v>307.23</v>
      </c>
      <c r="I89" s="9">
        <v>15</v>
      </c>
      <c r="J89" s="11">
        <f t="shared" si="2"/>
        <v>0.38</v>
      </c>
      <c r="K89" s="20">
        <f t="shared" si="3"/>
        <v>12127.5</v>
      </c>
    </row>
    <row r="90" spans="1:11" ht="36.6" hidden="1" customHeight="1" x14ac:dyDescent="0.3">
      <c r="A90" s="6" t="s">
        <v>192</v>
      </c>
      <c r="B90" s="7">
        <v>45565</v>
      </c>
      <c r="C90" s="8" t="str">
        <f>TEXT(Table1[[#This Row],[Order_Date]],"MMM-YYYY")</f>
        <v>Sep-2024</v>
      </c>
      <c r="D90" s="9" t="s">
        <v>15</v>
      </c>
      <c r="E90" s="9" t="s">
        <v>11</v>
      </c>
      <c r="F90" s="9" t="s">
        <v>12</v>
      </c>
      <c r="G90" s="10">
        <v>548.24</v>
      </c>
      <c r="H90" s="10">
        <v>191.88</v>
      </c>
      <c r="I90" s="9">
        <v>7</v>
      </c>
      <c r="J90" s="11">
        <f t="shared" si="2"/>
        <v>0.3499927039252882</v>
      </c>
      <c r="K90" s="20">
        <f t="shared" si="3"/>
        <v>3837.6800000000003</v>
      </c>
    </row>
    <row r="91" spans="1:11" ht="36.6" hidden="1" customHeight="1" x14ac:dyDescent="0.3">
      <c r="A91" s="6" t="s">
        <v>194</v>
      </c>
      <c r="B91" s="7">
        <v>45566</v>
      </c>
      <c r="C91" s="8" t="str">
        <f>TEXT(Table1[[#This Row],[Order_Date]],"MMM-YYYY")</f>
        <v>Oct-2024</v>
      </c>
      <c r="D91" s="9" t="s">
        <v>31</v>
      </c>
      <c r="E91" s="9" t="s">
        <v>49</v>
      </c>
      <c r="F91" s="9" t="s">
        <v>12</v>
      </c>
      <c r="G91" s="10">
        <v>2300.44</v>
      </c>
      <c r="H91" s="10">
        <v>736.14</v>
      </c>
      <c r="I91" s="9">
        <v>17</v>
      </c>
      <c r="J91" s="11">
        <f t="shared" si="2"/>
        <v>0.31999965224044097</v>
      </c>
      <c r="K91" s="20">
        <f t="shared" si="3"/>
        <v>39107.480000000003</v>
      </c>
    </row>
    <row r="92" spans="1:11" ht="36.6" hidden="1" customHeight="1" x14ac:dyDescent="0.3">
      <c r="A92" s="6" t="s">
        <v>196</v>
      </c>
      <c r="B92" s="7">
        <v>45567</v>
      </c>
      <c r="C92" s="8" t="str">
        <f>TEXT(Table1[[#This Row],[Order_Date]],"MMM-YYYY")</f>
        <v>Oct-2024</v>
      </c>
      <c r="D92" s="9" t="s">
        <v>10</v>
      </c>
      <c r="E92" s="9" t="s">
        <v>26</v>
      </c>
      <c r="F92" s="9" t="s">
        <v>12</v>
      </c>
      <c r="G92" s="10">
        <v>1022.4</v>
      </c>
      <c r="H92" s="10">
        <v>388.51</v>
      </c>
      <c r="I92" s="9">
        <v>18</v>
      </c>
      <c r="J92" s="11">
        <f t="shared" si="2"/>
        <v>0.37999804381846636</v>
      </c>
      <c r="K92" s="20">
        <f t="shared" si="3"/>
        <v>18403.2</v>
      </c>
    </row>
    <row r="93" spans="1:11" ht="36.6" hidden="1" customHeight="1" x14ac:dyDescent="0.3">
      <c r="A93" s="6" t="s">
        <v>198</v>
      </c>
      <c r="B93" s="7">
        <v>45568</v>
      </c>
      <c r="C93" s="8" t="str">
        <f>TEXT(Table1[[#This Row],[Order_Date]],"MMM-YYYY")</f>
        <v>Oct-2024</v>
      </c>
      <c r="D93" s="9" t="s">
        <v>31</v>
      </c>
      <c r="E93" s="9" t="s">
        <v>23</v>
      </c>
      <c r="F93" s="9" t="s">
        <v>12</v>
      </c>
      <c r="G93" s="10">
        <v>1089.55</v>
      </c>
      <c r="H93" s="10">
        <v>326.86</v>
      </c>
      <c r="I93" s="9">
        <v>7</v>
      </c>
      <c r="J93" s="11">
        <f t="shared" si="2"/>
        <v>0.29999541094947457</v>
      </c>
      <c r="K93" s="20">
        <f t="shared" si="3"/>
        <v>7626.8499999999995</v>
      </c>
    </row>
    <row r="94" spans="1:11" ht="36.6" hidden="1" customHeight="1" x14ac:dyDescent="0.3">
      <c r="A94" s="6" t="s">
        <v>200</v>
      </c>
      <c r="B94" s="7">
        <v>45569</v>
      </c>
      <c r="C94" s="8" t="str">
        <f>TEXT(Table1[[#This Row],[Order_Date]],"MMM-YYYY")</f>
        <v>Oct-2024</v>
      </c>
      <c r="D94" s="9" t="s">
        <v>15</v>
      </c>
      <c r="E94" s="9" t="s">
        <v>23</v>
      </c>
      <c r="F94" s="9" t="s">
        <v>12</v>
      </c>
      <c r="G94" s="10">
        <v>2586.85</v>
      </c>
      <c r="H94" s="10">
        <v>776.05</v>
      </c>
      <c r="I94" s="9">
        <v>19</v>
      </c>
      <c r="J94" s="11">
        <f t="shared" si="2"/>
        <v>0.2999980671473027</v>
      </c>
      <c r="K94" s="20">
        <f t="shared" si="3"/>
        <v>49150.15</v>
      </c>
    </row>
    <row r="95" spans="1:11" ht="36.6" hidden="1" customHeight="1" x14ac:dyDescent="0.3">
      <c r="A95" s="6" t="s">
        <v>201</v>
      </c>
      <c r="B95" s="7">
        <v>45570</v>
      </c>
      <c r="C95" s="8" t="str">
        <f>TEXT(Table1[[#This Row],[Order_Date]],"MMM-YYYY")</f>
        <v>Oct-2024</v>
      </c>
      <c r="D95" s="9" t="s">
        <v>31</v>
      </c>
      <c r="E95" s="9" t="s">
        <v>23</v>
      </c>
      <c r="F95" s="9" t="s">
        <v>12</v>
      </c>
      <c r="G95" s="10">
        <v>1380.87</v>
      </c>
      <c r="H95" s="10">
        <v>414.26</v>
      </c>
      <c r="I95" s="9">
        <v>9</v>
      </c>
      <c r="J95" s="11">
        <f t="shared" si="2"/>
        <v>0.29999927581886782</v>
      </c>
      <c r="K95" s="20">
        <f t="shared" si="3"/>
        <v>12427.829999999998</v>
      </c>
    </row>
    <row r="96" spans="1:11" ht="36.6" hidden="1" customHeight="1" x14ac:dyDescent="0.3">
      <c r="A96" s="6" t="s">
        <v>202</v>
      </c>
      <c r="B96" s="7">
        <v>45571</v>
      </c>
      <c r="C96" s="8" t="str">
        <f>TEXT(Table1[[#This Row],[Order_Date]],"MMM-YYYY")</f>
        <v>Oct-2024</v>
      </c>
      <c r="D96" s="9" t="s">
        <v>10</v>
      </c>
      <c r="E96" s="9" t="s">
        <v>49</v>
      </c>
      <c r="F96" s="9" t="s">
        <v>12</v>
      </c>
      <c r="G96" s="10">
        <v>2187.6799999999998</v>
      </c>
      <c r="H96" s="10">
        <v>700.06</v>
      </c>
      <c r="I96" s="9">
        <v>16</v>
      </c>
      <c r="J96" s="11">
        <f t="shared" si="2"/>
        <v>0.32000109705258539</v>
      </c>
      <c r="K96" s="20">
        <f t="shared" si="3"/>
        <v>35002.879999999997</v>
      </c>
    </row>
    <row r="97" spans="1:11" ht="36.6" hidden="1" customHeight="1" x14ac:dyDescent="0.3">
      <c r="A97" s="6" t="s">
        <v>204</v>
      </c>
      <c r="B97" s="7">
        <v>45572</v>
      </c>
      <c r="C97" s="8" t="str">
        <f>TEXT(Table1[[#This Row],[Order_Date]],"MMM-YYYY")</f>
        <v>Oct-2024</v>
      </c>
      <c r="D97" s="9" t="s">
        <v>10</v>
      </c>
      <c r="E97" s="9" t="s">
        <v>37</v>
      </c>
      <c r="F97" s="9" t="s">
        <v>17</v>
      </c>
      <c r="G97" s="10">
        <v>3553.4</v>
      </c>
      <c r="H97" s="10">
        <v>710.68</v>
      </c>
      <c r="I97" s="9">
        <v>10</v>
      </c>
      <c r="J97" s="11">
        <f t="shared" si="2"/>
        <v>0.19999999999999998</v>
      </c>
      <c r="K97" s="20">
        <f t="shared" si="3"/>
        <v>35534</v>
      </c>
    </row>
    <row r="98" spans="1:11" ht="36.6" hidden="1" customHeight="1" x14ac:dyDescent="0.3">
      <c r="A98" s="6" t="s">
        <v>206</v>
      </c>
      <c r="B98" s="7">
        <v>45573</v>
      </c>
      <c r="C98" s="8" t="str">
        <f>TEXT(Table1[[#This Row],[Order_Date]],"MMM-YYYY")</f>
        <v>Oct-2024</v>
      </c>
      <c r="D98" s="9" t="s">
        <v>31</v>
      </c>
      <c r="E98" s="9" t="s">
        <v>40</v>
      </c>
      <c r="F98" s="9" t="s">
        <v>41</v>
      </c>
      <c r="G98" s="10">
        <v>3090.23</v>
      </c>
      <c r="H98" s="10">
        <v>556.24</v>
      </c>
      <c r="I98" s="9">
        <v>13</v>
      </c>
      <c r="J98" s="11">
        <f t="shared" si="2"/>
        <v>0.17999954695928783</v>
      </c>
      <c r="K98" s="20">
        <f t="shared" si="3"/>
        <v>40172.99</v>
      </c>
    </row>
    <row r="99" spans="1:11" ht="36.6" hidden="1" customHeight="1" x14ac:dyDescent="0.3">
      <c r="A99" s="6" t="s">
        <v>208</v>
      </c>
      <c r="B99" s="7">
        <v>45574</v>
      </c>
      <c r="C99" s="8" t="str">
        <f>TEXT(Table1[[#This Row],[Order_Date]],"MMM-YYYY")</f>
        <v>Oct-2024</v>
      </c>
      <c r="D99" s="9" t="s">
        <v>15</v>
      </c>
      <c r="E99" s="9" t="s">
        <v>11</v>
      </c>
      <c r="F99" s="9" t="s">
        <v>12</v>
      </c>
      <c r="G99" s="10">
        <v>1064.7</v>
      </c>
      <c r="H99" s="10">
        <v>372.64</v>
      </c>
      <c r="I99" s="9">
        <v>15</v>
      </c>
      <c r="J99" s="11">
        <f t="shared" si="2"/>
        <v>0.34999530384145766</v>
      </c>
      <c r="K99" s="20">
        <f t="shared" si="3"/>
        <v>15970.5</v>
      </c>
    </row>
    <row r="100" spans="1:11" ht="36.6" customHeight="1" x14ac:dyDescent="0.3">
      <c r="A100" s="24" t="s">
        <v>209</v>
      </c>
      <c r="B100" s="7">
        <v>45575</v>
      </c>
      <c r="C100" s="8" t="str">
        <f>TEXT(Table1[[#This Row],[Order_Date]],"MMM-YYYY")</f>
        <v>Oct-2024</v>
      </c>
      <c r="D100" s="9" t="s">
        <v>31</v>
      </c>
      <c r="E100" s="9" t="s">
        <v>20</v>
      </c>
      <c r="F100" s="9" t="s">
        <v>17</v>
      </c>
      <c r="G100" s="10">
        <v>5258.55</v>
      </c>
      <c r="H100" s="10">
        <v>1262.05</v>
      </c>
      <c r="I100" s="9">
        <v>15</v>
      </c>
      <c r="J100" s="11">
        <f t="shared" si="2"/>
        <v>0.23999961966701847</v>
      </c>
      <c r="K100" s="20">
        <f t="shared" si="3"/>
        <v>78878.25</v>
      </c>
    </row>
    <row r="101" spans="1:11" ht="36.6" hidden="1" customHeight="1" x14ac:dyDescent="0.3">
      <c r="A101" s="6" t="s">
        <v>211</v>
      </c>
      <c r="B101" s="7">
        <v>45576</v>
      </c>
      <c r="C101" s="8" t="str">
        <f>TEXT(Table1[[#This Row],[Order_Date]],"MMM-YYYY")</f>
        <v>Oct-2024</v>
      </c>
      <c r="D101" s="9" t="s">
        <v>10</v>
      </c>
      <c r="E101" s="9" t="s">
        <v>16</v>
      </c>
      <c r="F101" s="9" t="s">
        <v>17</v>
      </c>
      <c r="G101" s="10">
        <v>8165.12</v>
      </c>
      <c r="H101" s="10">
        <v>2041.28</v>
      </c>
      <c r="I101" s="9">
        <v>16</v>
      </c>
      <c r="J101" s="11">
        <f t="shared" si="2"/>
        <v>0.25</v>
      </c>
      <c r="K101" s="20">
        <f t="shared" si="3"/>
        <v>130641.92</v>
      </c>
    </row>
    <row r="102" spans="1:11" ht="36.6" customHeight="1" x14ac:dyDescent="0.3">
      <c r="A102" s="24" t="s">
        <v>213</v>
      </c>
      <c r="B102" s="7">
        <v>45577</v>
      </c>
      <c r="C102" s="8" t="str">
        <f>TEXT(Table1[[#This Row],[Order_Date]],"MMM-YYYY")</f>
        <v>Oct-2024</v>
      </c>
      <c r="D102" s="9" t="s">
        <v>36</v>
      </c>
      <c r="E102" s="9" t="s">
        <v>20</v>
      </c>
      <c r="F102" s="9" t="s">
        <v>17</v>
      </c>
      <c r="G102" s="10">
        <v>1292.07</v>
      </c>
      <c r="H102" s="10">
        <v>310.10000000000002</v>
      </c>
      <c r="I102" s="9">
        <v>3</v>
      </c>
      <c r="J102" s="11">
        <f t="shared" si="2"/>
        <v>0.24000247664600219</v>
      </c>
      <c r="K102" s="20">
        <f t="shared" si="3"/>
        <v>3876.21</v>
      </c>
    </row>
    <row r="103" spans="1:11" ht="36.6" hidden="1" customHeight="1" x14ac:dyDescent="0.3">
      <c r="A103" s="6" t="s">
        <v>215</v>
      </c>
      <c r="B103" s="7">
        <v>45578</v>
      </c>
      <c r="C103" s="8" t="str">
        <f>TEXT(Table1[[#This Row],[Order_Date]],"MMM-YYYY")</f>
        <v>Oct-2024</v>
      </c>
      <c r="D103" s="9" t="s">
        <v>15</v>
      </c>
      <c r="E103" s="9" t="s">
        <v>37</v>
      </c>
      <c r="F103" s="9" t="s">
        <v>17</v>
      </c>
      <c r="G103" s="10">
        <v>5225.87</v>
      </c>
      <c r="H103" s="10">
        <v>1045.17</v>
      </c>
      <c r="I103" s="9">
        <v>13</v>
      </c>
      <c r="J103" s="11">
        <f t="shared" si="2"/>
        <v>0.19999923457720917</v>
      </c>
      <c r="K103" s="20">
        <f t="shared" si="3"/>
        <v>67936.31</v>
      </c>
    </row>
    <row r="104" spans="1:11" ht="36.6" hidden="1" customHeight="1" x14ac:dyDescent="0.3">
      <c r="A104" s="6" t="s">
        <v>216</v>
      </c>
      <c r="B104" s="7">
        <v>45579</v>
      </c>
      <c r="C104" s="8" t="str">
        <f>TEXT(Table1[[#This Row],[Order_Date]],"MMM-YYYY")</f>
        <v>Oct-2024</v>
      </c>
      <c r="D104" s="9" t="s">
        <v>31</v>
      </c>
      <c r="E104" s="9" t="s">
        <v>26</v>
      </c>
      <c r="F104" s="9" t="s">
        <v>12</v>
      </c>
      <c r="G104" s="10">
        <v>887.57</v>
      </c>
      <c r="H104" s="10">
        <v>337.28</v>
      </c>
      <c r="I104" s="9">
        <v>17</v>
      </c>
      <c r="J104" s="11">
        <f t="shared" si="2"/>
        <v>0.38000383068377702</v>
      </c>
      <c r="K104" s="20">
        <f t="shared" si="3"/>
        <v>15088.69</v>
      </c>
    </row>
    <row r="105" spans="1:11" ht="36.6" hidden="1" customHeight="1" x14ac:dyDescent="0.3">
      <c r="A105" s="6" t="s">
        <v>218</v>
      </c>
      <c r="B105" s="7">
        <v>45580</v>
      </c>
      <c r="C105" s="8" t="str">
        <f>TEXT(Table1[[#This Row],[Order_Date]],"MMM-YYYY")</f>
        <v>Oct-2024</v>
      </c>
      <c r="D105" s="9" t="s">
        <v>10</v>
      </c>
      <c r="E105" s="9" t="s">
        <v>26</v>
      </c>
      <c r="F105" s="9" t="s">
        <v>12</v>
      </c>
      <c r="G105" s="10">
        <v>450.72</v>
      </c>
      <c r="H105" s="10">
        <v>171.27</v>
      </c>
      <c r="I105" s="9">
        <v>9</v>
      </c>
      <c r="J105" s="11">
        <f t="shared" si="2"/>
        <v>0.37999201277955269</v>
      </c>
      <c r="K105" s="20">
        <f t="shared" si="3"/>
        <v>4056.4800000000005</v>
      </c>
    </row>
    <row r="106" spans="1:11" ht="36.6" hidden="1" customHeight="1" x14ac:dyDescent="0.3">
      <c r="A106" s="6" t="s">
        <v>220</v>
      </c>
      <c r="B106" s="7">
        <v>45581</v>
      </c>
      <c r="C106" s="8" t="str">
        <f>TEXT(Table1[[#This Row],[Order_Date]],"MMM-YYYY")</f>
        <v>Oct-2024</v>
      </c>
      <c r="D106" s="9" t="s">
        <v>31</v>
      </c>
      <c r="E106" s="9" t="s">
        <v>111</v>
      </c>
      <c r="F106" s="9" t="s">
        <v>17</v>
      </c>
      <c r="G106" s="10">
        <v>9356.16</v>
      </c>
      <c r="H106" s="10">
        <v>2058.36</v>
      </c>
      <c r="I106" s="9">
        <v>12</v>
      </c>
      <c r="J106" s="11">
        <f t="shared" si="2"/>
        <v>0.22000051303098708</v>
      </c>
      <c r="K106" s="20">
        <f t="shared" si="3"/>
        <v>112273.92</v>
      </c>
    </row>
    <row r="107" spans="1:11" ht="36.6" hidden="1" customHeight="1" x14ac:dyDescent="0.3">
      <c r="A107" s="6" t="s">
        <v>222</v>
      </c>
      <c r="B107" s="7">
        <v>45582</v>
      </c>
      <c r="C107" s="8" t="str">
        <f>TEXT(Table1[[#This Row],[Order_Date]],"MMM-YYYY")</f>
        <v>Oct-2024</v>
      </c>
      <c r="D107" s="9" t="s">
        <v>15</v>
      </c>
      <c r="E107" s="9" t="s">
        <v>111</v>
      </c>
      <c r="F107" s="9" t="s">
        <v>17</v>
      </c>
      <c r="G107" s="10">
        <v>4424.8</v>
      </c>
      <c r="H107" s="10">
        <v>973.46</v>
      </c>
      <c r="I107" s="9">
        <v>5</v>
      </c>
      <c r="J107" s="11">
        <f t="shared" si="2"/>
        <v>0.22000090399566083</v>
      </c>
      <c r="K107" s="20">
        <f t="shared" si="3"/>
        <v>22124</v>
      </c>
    </row>
    <row r="108" spans="1:11" ht="36.6" hidden="1" customHeight="1" x14ac:dyDescent="0.3">
      <c r="A108" s="6" t="s">
        <v>223</v>
      </c>
      <c r="B108" s="7">
        <v>45583</v>
      </c>
      <c r="C108" s="8" t="str">
        <f>TEXT(Table1[[#This Row],[Order_Date]],"MMM-YYYY")</f>
        <v>Oct-2024</v>
      </c>
      <c r="D108" s="9" t="s">
        <v>31</v>
      </c>
      <c r="E108" s="9" t="s">
        <v>16</v>
      </c>
      <c r="F108" s="9" t="s">
        <v>17</v>
      </c>
      <c r="G108" s="10">
        <v>3076.44</v>
      </c>
      <c r="H108" s="10">
        <v>769.11</v>
      </c>
      <c r="I108" s="9">
        <v>6</v>
      </c>
      <c r="J108" s="11">
        <f t="shared" si="2"/>
        <v>0.25</v>
      </c>
      <c r="K108" s="20">
        <f t="shared" si="3"/>
        <v>18458.64</v>
      </c>
    </row>
    <row r="109" spans="1:11" ht="36.6" hidden="1" customHeight="1" x14ac:dyDescent="0.3">
      <c r="A109" s="6" t="s">
        <v>225</v>
      </c>
      <c r="B109" s="7">
        <v>45584</v>
      </c>
      <c r="C109" s="8" t="str">
        <f>TEXT(Table1[[#This Row],[Order_Date]],"MMM-YYYY")</f>
        <v>Oct-2024</v>
      </c>
      <c r="D109" s="9" t="s">
        <v>31</v>
      </c>
      <c r="E109" s="9" t="s">
        <v>40</v>
      </c>
      <c r="F109" s="9" t="s">
        <v>41</v>
      </c>
      <c r="G109" s="10">
        <v>4309.8</v>
      </c>
      <c r="H109" s="10">
        <v>775.76</v>
      </c>
      <c r="I109" s="9">
        <v>20</v>
      </c>
      <c r="J109" s="11">
        <f t="shared" si="2"/>
        <v>0.17999907188268596</v>
      </c>
      <c r="K109" s="20">
        <f t="shared" si="3"/>
        <v>86196</v>
      </c>
    </row>
    <row r="110" spans="1:11" ht="36.6" hidden="1" customHeight="1" x14ac:dyDescent="0.3">
      <c r="A110" s="6" t="s">
        <v>227</v>
      </c>
      <c r="B110" s="7">
        <v>45585</v>
      </c>
      <c r="C110" s="8" t="str">
        <f>TEXT(Table1[[#This Row],[Order_Date]],"MMM-YYYY")</f>
        <v>Oct-2024</v>
      </c>
      <c r="D110" s="9" t="s">
        <v>31</v>
      </c>
      <c r="E110" s="9" t="s">
        <v>44</v>
      </c>
      <c r="F110" s="9" t="s">
        <v>17</v>
      </c>
      <c r="G110" s="10">
        <v>8334.0400000000009</v>
      </c>
      <c r="H110" s="10">
        <v>2333.5300000000002</v>
      </c>
      <c r="I110" s="9">
        <v>13</v>
      </c>
      <c r="J110" s="11">
        <f t="shared" si="2"/>
        <v>0.27999985601221017</v>
      </c>
      <c r="K110" s="20">
        <f t="shared" si="3"/>
        <v>108342.52000000002</v>
      </c>
    </row>
    <row r="111" spans="1:11" ht="36.6" hidden="1" customHeight="1" x14ac:dyDescent="0.3">
      <c r="A111" s="6" t="s">
        <v>228</v>
      </c>
      <c r="B111" s="7">
        <v>45586</v>
      </c>
      <c r="C111" s="8" t="str">
        <f>TEXT(Table1[[#This Row],[Order_Date]],"MMM-YYYY")</f>
        <v>Oct-2024</v>
      </c>
      <c r="D111" s="9" t="s">
        <v>10</v>
      </c>
      <c r="E111" s="9" t="s">
        <v>16</v>
      </c>
      <c r="F111" s="9" t="s">
        <v>17</v>
      </c>
      <c r="G111" s="10">
        <v>6482.28</v>
      </c>
      <c r="H111" s="10">
        <v>1620.57</v>
      </c>
      <c r="I111" s="9">
        <v>14</v>
      </c>
      <c r="J111" s="11">
        <f t="shared" si="2"/>
        <v>0.25</v>
      </c>
      <c r="K111" s="20">
        <f t="shared" si="3"/>
        <v>90751.92</v>
      </c>
    </row>
    <row r="112" spans="1:11" ht="36.6" hidden="1" customHeight="1" x14ac:dyDescent="0.3">
      <c r="A112" s="6" t="s">
        <v>230</v>
      </c>
      <c r="B112" s="7">
        <v>45587</v>
      </c>
      <c r="C112" s="8" t="str">
        <f>TEXT(Table1[[#This Row],[Order_Date]],"MMM-YYYY")</f>
        <v>Oct-2024</v>
      </c>
      <c r="D112" s="9" t="s">
        <v>10</v>
      </c>
      <c r="E112" s="9" t="s">
        <v>40</v>
      </c>
      <c r="F112" s="9" t="s">
        <v>41</v>
      </c>
      <c r="G112" s="10">
        <v>569.12</v>
      </c>
      <c r="H112" s="10">
        <v>102.44</v>
      </c>
      <c r="I112" s="9">
        <v>2</v>
      </c>
      <c r="J112" s="11">
        <f t="shared" si="2"/>
        <v>0.17999718864211414</v>
      </c>
      <c r="K112" s="20">
        <f t="shared" si="3"/>
        <v>1138.24</v>
      </c>
    </row>
    <row r="113" spans="1:11" ht="36.6" hidden="1" customHeight="1" x14ac:dyDescent="0.3">
      <c r="A113" s="6" t="s">
        <v>231</v>
      </c>
      <c r="B113" s="7">
        <v>45588</v>
      </c>
      <c r="C113" s="8" t="str">
        <f>TEXT(Table1[[#This Row],[Order_Date]],"MMM-YYYY")</f>
        <v>Oct-2024</v>
      </c>
      <c r="D113" s="9" t="s">
        <v>15</v>
      </c>
      <c r="E113" s="9" t="s">
        <v>40</v>
      </c>
      <c r="F113" s="9" t="s">
        <v>41</v>
      </c>
      <c r="G113" s="10">
        <v>2002.42</v>
      </c>
      <c r="H113" s="10">
        <v>360.44</v>
      </c>
      <c r="I113" s="9">
        <v>7</v>
      </c>
      <c r="J113" s="11">
        <f t="shared" si="2"/>
        <v>0.18000219734121711</v>
      </c>
      <c r="K113" s="20">
        <f t="shared" si="3"/>
        <v>14016.94</v>
      </c>
    </row>
    <row r="114" spans="1:11" ht="36.6" hidden="1" customHeight="1" x14ac:dyDescent="0.3">
      <c r="A114" s="6" t="s">
        <v>233</v>
      </c>
      <c r="B114" s="7">
        <v>45589</v>
      </c>
      <c r="C114" s="8" t="str">
        <f>TEXT(Table1[[#This Row],[Order_Date]],"MMM-YYYY")</f>
        <v>Oct-2024</v>
      </c>
      <c r="D114" s="9" t="s">
        <v>36</v>
      </c>
      <c r="E114" s="9" t="s">
        <v>40</v>
      </c>
      <c r="F114" s="9" t="s">
        <v>41</v>
      </c>
      <c r="G114" s="10">
        <v>1536.99</v>
      </c>
      <c r="H114" s="10">
        <v>276.66000000000003</v>
      </c>
      <c r="I114" s="9">
        <v>7</v>
      </c>
      <c r="J114" s="11">
        <f t="shared" si="2"/>
        <v>0.18000117112017647</v>
      </c>
      <c r="K114" s="20">
        <f t="shared" si="3"/>
        <v>10758.93</v>
      </c>
    </row>
    <row r="115" spans="1:11" ht="36.6" hidden="1" customHeight="1" x14ac:dyDescent="0.3">
      <c r="A115" s="6" t="s">
        <v>235</v>
      </c>
      <c r="B115" s="7">
        <v>45590</v>
      </c>
      <c r="C115" s="8" t="str">
        <f>TEXT(Table1[[#This Row],[Order_Date]],"MMM-YYYY")</f>
        <v>Oct-2024</v>
      </c>
      <c r="D115" s="9" t="s">
        <v>36</v>
      </c>
      <c r="E115" s="9" t="s">
        <v>23</v>
      </c>
      <c r="F115" s="9" t="s">
        <v>12</v>
      </c>
      <c r="G115" s="10">
        <v>737.95</v>
      </c>
      <c r="H115" s="10">
        <v>221.39</v>
      </c>
      <c r="I115" s="9">
        <v>5</v>
      </c>
      <c r="J115" s="11">
        <f t="shared" si="2"/>
        <v>0.30000677552679716</v>
      </c>
      <c r="K115" s="20">
        <f t="shared" si="3"/>
        <v>3689.75</v>
      </c>
    </row>
    <row r="116" spans="1:11" ht="36.6" hidden="1" customHeight="1" x14ac:dyDescent="0.3">
      <c r="A116" s="6" t="s">
        <v>237</v>
      </c>
      <c r="B116" s="7">
        <v>45591</v>
      </c>
      <c r="C116" s="8" t="str">
        <f>TEXT(Table1[[#This Row],[Order_Date]],"MMM-YYYY")</f>
        <v>Oct-2024</v>
      </c>
      <c r="D116" s="9" t="s">
        <v>31</v>
      </c>
      <c r="E116" s="9" t="s">
        <v>44</v>
      </c>
      <c r="F116" s="9" t="s">
        <v>17</v>
      </c>
      <c r="G116" s="10">
        <v>10662.42</v>
      </c>
      <c r="H116" s="10">
        <v>2985.48</v>
      </c>
      <c r="I116" s="9">
        <v>19</v>
      </c>
      <c r="J116" s="11">
        <f t="shared" si="2"/>
        <v>0.28000022508961381</v>
      </c>
      <c r="K116" s="20">
        <f t="shared" si="3"/>
        <v>202585.98</v>
      </c>
    </row>
    <row r="117" spans="1:11" ht="36.6" hidden="1" customHeight="1" x14ac:dyDescent="0.3">
      <c r="A117" s="6" t="s">
        <v>239</v>
      </c>
      <c r="B117" s="7">
        <v>45592</v>
      </c>
      <c r="C117" s="8" t="str">
        <f>TEXT(Table1[[#This Row],[Order_Date]],"MMM-YYYY")</f>
        <v>Oct-2024</v>
      </c>
      <c r="D117" s="9" t="s">
        <v>36</v>
      </c>
      <c r="E117" s="9" t="s">
        <v>44</v>
      </c>
      <c r="F117" s="9" t="s">
        <v>17</v>
      </c>
      <c r="G117" s="10">
        <v>640.04</v>
      </c>
      <c r="H117" s="10">
        <v>179.21</v>
      </c>
      <c r="I117" s="9">
        <v>1</v>
      </c>
      <c r="J117" s="11">
        <f t="shared" si="2"/>
        <v>0.2799981251171802</v>
      </c>
      <c r="K117" s="20">
        <f t="shared" si="3"/>
        <v>640.04</v>
      </c>
    </row>
    <row r="118" spans="1:11" ht="36.6" hidden="1" customHeight="1" x14ac:dyDescent="0.3">
      <c r="A118" s="6" t="s">
        <v>241</v>
      </c>
      <c r="B118" s="7">
        <v>45593</v>
      </c>
      <c r="C118" s="8" t="str">
        <f>TEXT(Table1[[#This Row],[Order_Date]],"MMM-YYYY")</f>
        <v>Oct-2024</v>
      </c>
      <c r="D118" s="9" t="s">
        <v>31</v>
      </c>
      <c r="E118" s="9" t="s">
        <v>37</v>
      </c>
      <c r="F118" s="9" t="s">
        <v>17</v>
      </c>
      <c r="G118" s="10">
        <v>3735.82</v>
      </c>
      <c r="H118" s="10">
        <v>747.16</v>
      </c>
      <c r="I118" s="9">
        <v>11</v>
      </c>
      <c r="J118" s="11">
        <f t="shared" si="2"/>
        <v>0.1999989292846015</v>
      </c>
      <c r="K118" s="20">
        <f t="shared" si="3"/>
        <v>41094.020000000004</v>
      </c>
    </row>
    <row r="119" spans="1:11" ht="36.6" hidden="1" customHeight="1" x14ac:dyDescent="0.3">
      <c r="A119" s="6" t="s">
        <v>243</v>
      </c>
      <c r="B119" s="7">
        <v>45594</v>
      </c>
      <c r="C119" s="8" t="str">
        <f>TEXT(Table1[[#This Row],[Order_Date]],"MMM-YYYY")</f>
        <v>Oct-2024</v>
      </c>
      <c r="D119" s="9" t="s">
        <v>15</v>
      </c>
      <c r="E119" s="9" t="s">
        <v>23</v>
      </c>
      <c r="F119" s="9" t="s">
        <v>12</v>
      </c>
      <c r="G119" s="10">
        <v>2210.6999999999998</v>
      </c>
      <c r="H119" s="10">
        <v>663.21</v>
      </c>
      <c r="I119" s="9">
        <v>15</v>
      </c>
      <c r="J119" s="11">
        <f t="shared" si="2"/>
        <v>0.30000000000000004</v>
      </c>
      <c r="K119" s="20">
        <f t="shared" si="3"/>
        <v>33160.5</v>
      </c>
    </row>
    <row r="120" spans="1:11" ht="36.6" hidden="1" customHeight="1" x14ac:dyDescent="0.3">
      <c r="A120" s="6" t="s">
        <v>245</v>
      </c>
      <c r="B120" s="7">
        <v>45595</v>
      </c>
      <c r="C120" s="8" t="str">
        <f>TEXT(Table1[[#This Row],[Order_Date]],"MMM-YYYY")</f>
        <v>Oct-2024</v>
      </c>
      <c r="D120" s="9" t="s">
        <v>31</v>
      </c>
      <c r="E120" s="9" t="s">
        <v>49</v>
      </c>
      <c r="F120" s="9" t="s">
        <v>12</v>
      </c>
      <c r="G120" s="10">
        <v>1101.76</v>
      </c>
      <c r="H120" s="10">
        <v>352.56</v>
      </c>
      <c r="I120" s="9">
        <v>8</v>
      </c>
      <c r="J120" s="11">
        <f t="shared" si="2"/>
        <v>0.31999709555620098</v>
      </c>
      <c r="K120" s="20">
        <f t="shared" si="3"/>
        <v>8814.08</v>
      </c>
    </row>
    <row r="121" spans="1:11" ht="36.6" hidden="1" customHeight="1" x14ac:dyDescent="0.3">
      <c r="A121" s="6" t="s">
        <v>247</v>
      </c>
      <c r="B121" s="7">
        <v>45596</v>
      </c>
      <c r="C121" s="8" t="str">
        <f>TEXT(Table1[[#This Row],[Order_Date]],"MMM-YYYY")</f>
        <v>Oct-2024</v>
      </c>
      <c r="D121" s="9" t="s">
        <v>10</v>
      </c>
      <c r="E121" s="9" t="s">
        <v>26</v>
      </c>
      <c r="F121" s="9" t="s">
        <v>12</v>
      </c>
      <c r="G121" s="10">
        <v>420</v>
      </c>
      <c r="H121" s="10">
        <v>159.6</v>
      </c>
      <c r="I121" s="9">
        <v>8</v>
      </c>
      <c r="J121" s="11">
        <f t="shared" si="2"/>
        <v>0.38</v>
      </c>
      <c r="K121" s="20">
        <f t="shared" si="3"/>
        <v>3360</v>
      </c>
    </row>
    <row r="122" spans="1:11" ht="36.6" hidden="1" customHeight="1" x14ac:dyDescent="0.3">
      <c r="A122" s="6" t="s">
        <v>249</v>
      </c>
      <c r="B122" s="7">
        <v>45597</v>
      </c>
      <c r="C122" s="8" t="str">
        <f>TEXT(Table1[[#This Row],[Order_Date]],"MMM-YYYY")</f>
        <v>Nov-2024</v>
      </c>
      <c r="D122" s="9" t="s">
        <v>15</v>
      </c>
      <c r="E122" s="9" t="s">
        <v>23</v>
      </c>
      <c r="F122" s="9" t="s">
        <v>12</v>
      </c>
      <c r="G122" s="10">
        <v>161.65</v>
      </c>
      <c r="H122" s="10">
        <v>48.49</v>
      </c>
      <c r="I122" s="9">
        <v>1</v>
      </c>
      <c r="J122" s="11">
        <f t="shared" si="2"/>
        <v>0.29996906897618314</v>
      </c>
      <c r="K122" s="20">
        <f t="shared" si="3"/>
        <v>161.65</v>
      </c>
    </row>
    <row r="123" spans="1:11" ht="36.6" hidden="1" customHeight="1" x14ac:dyDescent="0.3">
      <c r="A123" s="6" t="s">
        <v>251</v>
      </c>
      <c r="B123" s="7">
        <v>45598</v>
      </c>
      <c r="C123" s="8" t="str">
        <f>TEXT(Table1[[#This Row],[Order_Date]],"MMM-YYYY")</f>
        <v>Nov-2024</v>
      </c>
      <c r="D123" s="9" t="s">
        <v>10</v>
      </c>
      <c r="E123" s="9" t="s">
        <v>40</v>
      </c>
      <c r="F123" s="9" t="s">
        <v>41</v>
      </c>
      <c r="G123" s="10">
        <v>3159.94</v>
      </c>
      <c r="H123" s="10">
        <v>568.79</v>
      </c>
      <c r="I123" s="9">
        <v>14</v>
      </c>
      <c r="J123" s="11">
        <f t="shared" si="2"/>
        <v>0.18000025316936397</v>
      </c>
      <c r="K123" s="20">
        <f t="shared" si="3"/>
        <v>44239.16</v>
      </c>
    </row>
    <row r="124" spans="1:11" ht="36.6" hidden="1" customHeight="1" x14ac:dyDescent="0.3">
      <c r="A124" s="6" t="s">
        <v>252</v>
      </c>
      <c r="B124" s="7">
        <v>45599</v>
      </c>
      <c r="C124" s="8" t="str">
        <f>TEXT(Table1[[#This Row],[Order_Date]],"MMM-YYYY")</f>
        <v>Nov-2024</v>
      </c>
      <c r="D124" s="9" t="s">
        <v>31</v>
      </c>
      <c r="E124" s="9" t="s">
        <v>111</v>
      </c>
      <c r="F124" s="9" t="s">
        <v>17</v>
      </c>
      <c r="G124" s="10">
        <v>10896.2</v>
      </c>
      <c r="H124" s="10">
        <v>2397.16</v>
      </c>
      <c r="I124" s="9">
        <v>14</v>
      </c>
      <c r="J124" s="11">
        <f t="shared" si="2"/>
        <v>0.21999963289954294</v>
      </c>
      <c r="K124" s="20">
        <f t="shared" si="3"/>
        <v>152546.80000000002</v>
      </c>
    </row>
    <row r="125" spans="1:11" ht="36.6" hidden="1" customHeight="1" x14ac:dyDescent="0.3">
      <c r="A125" s="6" t="s">
        <v>254</v>
      </c>
      <c r="B125" s="7">
        <v>45600</v>
      </c>
      <c r="C125" s="8" t="str">
        <f>TEXT(Table1[[#This Row],[Order_Date]],"MMM-YYYY")</f>
        <v>Nov-2024</v>
      </c>
      <c r="D125" s="9" t="s">
        <v>10</v>
      </c>
      <c r="E125" s="9" t="s">
        <v>44</v>
      </c>
      <c r="F125" s="9" t="s">
        <v>17</v>
      </c>
      <c r="G125" s="10">
        <v>5673.78</v>
      </c>
      <c r="H125" s="10">
        <v>1588.66</v>
      </c>
      <c r="I125" s="9">
        <v>9</v>
      </c>
      <c r="J125" s="11">
        <f t="shared" si="2"/>
        <v>0.28000028199894961</v>
      </c>
      <c r="K125" s="20">
        <f t="shared" si="3"/>
        <v>51064.02</v>
      </c>
    </row>
    <row r="126" spans="1:11" ht="36.6" hidden="1" customHeight="1" x14ac:dyDescent="0.3">
      <c r="A126" s="6" t="s">
        <v>256</v>
      </c>
      <c r="B126" s="7">
        <v>45601</v>
      </c>
      <c r="C126" s="8" t="str">
        <f>TEXT(Table1[[#This Row],[Order_Date]],"MMM-YYYY")</f>
        <v>Nov-2024</v>
      </c>
      <c r="D126" s="9" t="s">
        <v>10</v>
      </c>
      <c r="E126" s="9" t="s">
        <v>111</v>
      </c>
      <c r="F126" s="9" t="s">
        <v>17</v>
      </c>
      <c r="G126" s="10">
        <v>9737.2999999999993</v>
      </c>
      <c r="H126" s="10">
        <v>2142.21</v>
      </c>
      <c r="I126" s="9">
        <v>10</v>
      </c>
      <c r="J126" s="11">
        <f t="shared" si="2"/>
        <v>0.22000041079149252</v>
      </c>
      <c r="K126" s="20">
        <f t="shared" si="3"/>
        <v>97373</v>
      </c>
    </row>
    <row r="127" spans="1:11" ht="36.6" hidden="1" customHeight="1" x14ac:dyDescent="0.3">
      <c r="A127" s="6" t="s">
        <v>257</v>
      </c>
      <c r="B127" s="7">
        <v>45602</v>
      </c>
      <c r="C127" s="8" t="str">
        <f>TEXT(Table1[[#This Row],[Order_Date]],"MMM-YYYY")</f>
        <v>Nov-2024</v>
      </c>
      <c r="D127" s="9" t="s">
        <v>31</v>
      </c>
      <c r="E127" s="9" t="s">
        <v>111</v>
      </c>
      <c r="F127" s="9" t="s">
        <v>17</v>
      </c>
      <c r="G127" s="10">
        <v>16451.46</v>
      </c>
      <c r="H127" s="10">
        <v>3619.32</v>
      </c>
      <c r="I127" s="9">
        <v>18</v>
      </c>
      <c r="J127" s="11">
        <f t="shared" si="2"/>
        <v>0.21999992705814561</v>
      </c>
      <c r="K127" s="20">
        <f t="shared" si="3"/>
        <v>296126.27999999997</v>
      </c>
    </row>
    <row r="128" spans="1:11" ht="36.6" hidden="1" customHeight="1" x14ac:dyDescent="0.3">
      <c r="A128" s="6" t="s">
        <v>259</v>
      </c>
      <c r="B128" s="7">
        <v>45603</v>
      </c>
      <c r="C128" s="8" t="str">
        <f>TEXT(Table1[[#This Row],[Order_Date]],"MMM-YYYY")</f>
        <v>Nov-2024</v>
      </c>
      <c r="D128" s="9" t="s">
        <v>36</v>
      </c>
      <c r="E128" s="9" t="s">
        <v>26</v>
      </c>
      <c r="F128" s="9" t="s">
        <v>12</v>
      </c>
      <c r="G128" s="10">
        <v>837.59</v>
      </c>
      <c r="H128" s="10">
        <v>318.27999999999997</v>
      </c>
      <c r="I128" s="9">
        <v>17</v>
      </c>
      <c r="J128" s="11">
        <f t="shared" si="2"/>
        <v>0.37999498561348627</v>
      </c>
      <c r="K128" s="20">
        <f t="shared" si="3"/>
        <v>14239.03</v>
      </c>
    </row>
    <row r="129" spans="1:11" ht="36.6" hidden="1" customHeight="1" x14ac:dyDescent="0.3">
      <c r="A129" s="6" t="s">
        <v>261</v>
      </c>
      <c r="B129" s="7">
        <v>45604</v>
      </c>
      <c r="C129" s="8" t="str">
        <f>TEXT(Table1[[#This Row],[Order_Date]],"MMM-YYYY")</f>
        <v>Nov-2024</v>
      </c>
      <c r="D129" s="9" t="s">
        <v>15</v>
      </c>
      <c r="E129" s="9" t="s">
        <v>40</v>
      </c>
      <c r="F129" s="9" t="s">
        <v>41</v>
      </c>
      <c r="G129" s="10">
        <v>1709.46</v>
      </c>
      <c r="H129" s="10">
        <v>307.7</v>
      </c>
      <c r="I129" s="9">
        <v>6</v>
      </c>
      <c r="J129" s="11">
        <f t="shared" si="2"/>
        <v>0.17999836205585387</v>
      </c>
      <c r="K129" s="20">
        <f t="shared" si="3"/>
        <v>10256.76</v>
      </c>
    </row>
    <row r="130" spans="1:11" ht="36.6" hidden="1" customHeight="1" x14ac:dyDescent="0.3">
      <c r="A130" s="6" t="s">
        <v>263</v>
      </c>
      <c r="B130" s="7">
        <v>45605</v>
      </c>
      <c r="C130" s="8" t="str">
        <f>TEXT(Table1[[#This Row],[Order_Date]],"MMM-YYYY")</f>
        <v>Nov-2024</v>
      </c>
      <c r="D130" s="9" t="s">
        <v>10</v>
      </c>
      <c r="E130" s="9" t="s">
        <v>40</v>
      </c>
      <c r="F130" s="9" t="s">
        <v>41</v>
      </c>
      <c r="G130" s="10">
        <v>3642.34</v>
      </c>
      <c r="H130" s="10">
        <v>655.62</v>
      </c>
      <c r="I130" s="9">
        <v>13</v>
      </c>
      <c r="J130" s="11">
        <f t="shared" si="2"/>
        <v>0.1799996705414651</v>
      </c>
      <c r="K130" s="20">
        <f t="shared" si="3"/>
        <v>47350.42</v>
      </c>
    </row>
    <row r="131" spans="1:11" ht="36.6" hidden="1" customHeight="1" x14ac:dyDescent="0.3">
      <c r="A131" s="6" t="s">
        <v>265</v>
      </c>
      <c r="B131" s="7">
        <v>45606</v>
      </c>
      <c r="C131" s="8" t="str">
        <f>TEXT(Table1[[#This Row],[Order_Date]],"MMM-YYYY")</f>
        <v>Nov-2024</v>
      </c>
      <c r="D131" s="9" t="s">
        <v>31</v>
      </c>
      <c r="E131" s="9" t="s">
        <v>111</v>
      </c>
      <c r="F131" s="9" t="s">
        <v>17</v>
      </c>
      <c r="G131" s="10">
        <v>12461.82</v>
      </c>
      <c r="H131" s="10">
        <v>2741.6</v>
      </c>
      <c r="I131" s="9">
        <v>14</v>
      </c>
      <c r="J131" s="11">
        <f t="shared" ref="J131:J194" si="4">H131/G131</f>
        <v>0.21999996790195975</v>
      </c>
      <c r="K131" s="20">
        <f t="shared" ref="K131:K194" si="5">I131*G131</f>
        <v>174465.47999999998</v>
      </c>
    </row>
    <row r="132" spans="1:11" ht="36.6" hidden="1" customHeight="1" x14ac:dyDescent="0.3">
      <c r="A132" s="6" t="s">
        <v>267</v>
      </c>
      <c r="B132" s="7">
        <v>45607</v>
      </c>
      <c r="C132" s="8" t="str">
        <f>TEXT(Table1[[#This Row],[Order_Date]],"MMM-YYYY")</f>
        <v>Nov-2024</v>
      </c>
      <c r="D132" s="9" t="s">
        <v>10</v>
      </c>
      <c r="E132" s="9" t="s">
        <v>11</v>
      </c>
      <c r="F132" s="9" t="s">
        <v>12</v>
      </c>
      <c r="G132" s="10">
        <v>546.63</v>
      </c>
      <c r="H132" s="10">
        <v>191.32</v>
      </c>
      <c r="I132" s="9">
        <v>7</v>
      </c>
      <c r="J132" s="11">
        <f t="shared" si="4"/>
        <v>0.34999908530450213</v>
      </c>
      <c r="K132" s="20">
        <f t="shared" si="5"/>
        <v>3826.41</v>
      </c>
    </row>
    <row r="133" spans="1:11" ht="36.6" hidden="1" customHeight="1" x14ac:dyDescent="0.3">
      <c r="A133" s="6" t="s">
        <v>268</v>
      </c>
      <c r="B133" s="7">
        <v>45608</v>
      </c>
      <c r="C133" s="8" t="str">
        <f>TEXT(Table1[[#This Row],[Order_Date]],"MMM-YYYY")</f>
        <v>Nov-2024</v>
      </c>
      <c r="D133" s="9" t="s">
        <v>15</v>
      </c>
      <c r="E133" s="9" t="s">
        <v>37</v>
      </c>
      <c r="F133" s="9" t="s">
        <v>17</v>
      </c>
      <c r="G133" s="10">
        <v>4046.12</v>
      </c>
      <c r="H133" s="10">
        <v>809.22</v>
      </c>
      <c r="I133" s="9">
        <v>13</v>
      </c>
      <c r="J133" s="11">
        <f t="shared" si="4"/>
        <v>0.19999901139857446</v>
      </c>
      <c r="K133" s="20">
        <f t="shared" si="5"/>
        <v>52599.56</v>
      </c>
    </row>
    <row r="134" spans="1:11" ht="36.6" hidden="1" customHeight="1" x14ac:dyDescent="0.3">
      <c r="A134" s="6" t="s">
        <v>270</v>
      </c>
      <c r="B134" s="7">
        <v>45609</v>
      </c>
      <c r="C134" s="8" t="str">
        <f>TEXT(Table1[[#This Row],[Order_Date]],"MMM-YYYY")</f>
        <v>Nov-2024</v>
      </c>
      <c r="D134" s="9" t="s">
        <v>36</v>
      </c>
      <c r="E134" s="9" t="s">
        <v>40</v>
      </c>
      <c r="F134" s="9" t="s">
        <v>41</v>
      </c>
      <c r="G134" s="10">
        <v>2580.39</v>
      </c>
      <c r="H134" s="10">
        <v>464.47</v>
      </c>
      <c r="I134" s="9">
        <v>9</v>
      </c>
      <c r="J134" s="11">
        <f t="shared" si="4"/>
        <v>0.17999992249233646</v>
      </c>
      <c r="K134" s="20">
        <f t="shared" si="5"/>
        <v>23223.51</v>
      </c>
    </row>
    <row r="135" spans="1:11" ht="36.6" hidden="1" customHeight="1" x14ac:dyDescent="0.3">
      <c r="A135" s="6" t="s">
        <v>272</v>
      </c>
      <c r="B135" s="7">
        <v>45610</v>
      </c>
      <c r="C135" s="8" t="str">
        <f>TEXT(Table1[[#This Row],[Order_Date]],"MMM-YYYY")</f>
        <v>Nov-2024</v>
      </c>
      <c r="D135" s="9" t="s">
        <v>15</v>
      </c>
      <c r="E135" s="9" t="s">
        <v>26</v>
      </c>
      <c r="F135" s="9" t="s">
        <v>12</v>
      </c>
      <c r="G135" s="10">
        <v>221.48</v>
      </c>
      <c r="H135" s="10">
        <v>84.16</v>
      </c>
      <c r="I135" s="9">
        <v>4</v>
      </c>
      <c r="J135" s="11">
        <f t="shared" si="4"/>
        <v>0.37998916380711578</v>
      </c>
      <c r="K135" s="20">
        <f t="shared" si="5"/>
        <v>885.92</v>
      </c>
    </row>
    <row r="136" spans="1:11" ht="36.6" hidden="1" customHeight="1" x14ac:dyDescent="0.3">
      <c r="A136" s="6" t="s">
        <v>273</v>
      </c>
      <c r="B136" s="7">
        <v>45611</v>
      </c>
      <c r="C136" s="8" t="str">
        <f>TEXT(Table1[[#This Row],[Order_Date]],"MMM-YYYY")</f>
        <v>Nov-2024</v>
      </c>
      <c r="D136" s="9" t="s">
        <v>15</v>
      </c>
      <c r="E136" s="9" t="s">
        <v>16</v>
      </c>
      <c r="F136" s="9" t="s">
        <v>17</v>
      </c>
      <c r="G136" s="10">
        <v>4929.3599999999997</v>
      </c>
      <c r="H136" s="10">
        <v>1232.3399999999999</v>
      </c>
      <c r="I136" s="9">
        <v>12</v>
      </c>
      <c r="J136" s="11">
        <f t="shared" si="4"/>
        <v>0.25</v>
      </c>
      <c r="K136" s="20">
        <f t="shared" si="5"/>
        <v>59152.319999999992</v>
      </c>
    </row>
    <row r="137" spans="1:11" ht="36.6" hidden="1" customHeight="1" x14ac:dyDescent="0.3">
      <c r="A137" s="6" t="s">
        <v>275</v>
      </c>
      <c r="B137" s="7">
        <v>45612</v>
      </c>
      <c r="C137" s="8" t="str">
        <f>TEXT(Table1[[#This Row],[Order_Date]],"MMM-YYYY")</f>
        <v>Nov-2024</v>
      </c>
      <c r="D137" s="9" t="s">
        <v>10</v>
      </c>
      <c r="E137" s="9" t="s">
        <v>23</v>
      </c>
      <c r="F137" s="9" t="s">
        <v>12</v>
      </c>
      <c r="G137" s="10">
        <v>1857.24</v>
      </c>
      <c r="H137" s="10">
        <v>557.16999999999996</v>
      </c>
      <c r="I137" s="9">
        <v>14</v>
      </c>
      <c r="J137" s="11">
        <f t="shared" si="4"/>
        <v>0.29999892313325149</v>
      </c>
      <c r="K137" s="20">
        <f t="shared" si="5"/>
        <v>26001.360000000001</v>
      </c>
    </row>
    <row r="138" spans="1:11" ht="36.6" hidden="1" customHeight="1" x14ac:dyDescent="0.3">
      <c r="A138" s="6" t="s">
        <v>276</v>
      </c>
      <c r="B138" s="7">
        <v>45613</v>
      </c>
      <c r="C138" s="8" t="str">
        <f>TEXT(Table1[[#This Row],[Order_Date]],"MMM-YYYY")</f>
        <v>Nov-2024</v>
      </c>
      <c r="D138" s="9" t="s">
        <v>36</v>
      </c>
      <c r="E138" s="9" t="s">
        <v>16</v>
      </c>
      <c r="F138" s="9" t="s">
        <v>17</v>
      </c>
      <c r="G138" s="10">
        <v>8599.86</v>
      </c>
      <c r="H138" s="10">
        <v>2149.9699999999998</v>
      </c>
      <c r="I138" s="9">
        <v>18</v>
      </c>
      <c r="J138" s="11">
        <f t="shared" si="4"/>
        <v>0.25000058140481352</v>
      </c>
      <c r="K138" s="20">
        <f t="shared" si="5"/>
        <v>154797.48000000001</v>
      </c>
    </row>
    <row r="139" spans="1:11" ht="36.6" customHeight="1" x14ac:dyDescent="0.3">
      <c r="A139" s="24" t="s">
        <v>278</v>
      </c>
      <c r="B139" s="7">
        <v>45614</v>
      </c>
      <c r="C139" s="8" t="str">
        <f>TEXT(Table1[[#This Row],[Order_Date]],"MMM-YYYY")</f>
        <v>Nov-2024</v>
      </c>
      <c r="D139" s="9" t="s">
        <v>36</v>
      </c>
      <c r="E139" s="9" t="s">
        <v>20</v>
      </c>
      <c r="F139" s="9" t="s">
        <v>17</v>
      </c>
      <c r="G139" s="10">
        <v>813.78</v>
      </c>
      <c r="H139" s="10">
        <v>195.31</v>
      </c>
      <c r="I139" s="9">
        <v>2</v>
      </c>
      <c r="J139" s="11">
        <f t="shared" si="4"/>
        <v>0.24000344073336774</v>
      </c>
      <c r="K139" s="20">
        <f t="shared" si="5"/>
        <v>1627.56</v>
      </c>
    </row>
    <row r="140" spans="1:11" ht="36.6" hidden="1" customHeight="1" x14ac:dyDescent="0.3">
      <c r="A140" s="6" t="s">
        <v>279</v>
      </c>
      <c r="B140" s="7">
        <v>45615</v>
      </c>
      <c r="C140" s="8" t="str">
        <f>TEXT(Table1[[#This Row],[Order_Date]],"MMM-YYYY")</f>
        <v>Nov-2024</v>
      </c>
      <c r="D140" s="9" t="s">
        <v>15</v>
      </c>
      <c r="E140" s="9" t="s">
        <v>49</v>
      </c>
      <c r="F140" s="9" t="s">
        <v>12</v>
      </c>
      <c r="G140" s="10">
        <v>968.4</v>
      </c>
      <c r="H140" s="10">
        <v>309.89</v>
      </c>
      <c r="I140" s="9">
        <v>9</v>
      </c>
      <c r="J140" s="11">
        <f t="shared" si="4"/>
        <v>0.3200020652622883</v>
      </c>
      <c r="K140" s="20">
        <f t="shared" si="5"/>
        <v>8715.6</v>
      </c>
    </row>
    <row r="141" spans="1:11" ht="36.6" hidden="1" customHeight="1" x14ac:dyDescent="0.3">
      <c r="A141" s="6" t="s">
        <v>281</v>
      </c>
      <c r="B141" s="7">
        <v>45616</v>
      </c>
      <c r="C141" s="8" t="str">
        <f>TEXT(Table1[[#This Row],[Order_Date]],"MMM-YYYY")</f>
        <v>Nov-2024</v>
      </c>
      <c r="D141" s="9" t="s">
        <v>15</v>
      </c>
      <c r="E141" s="9" t="s">
        <v>23</v>
      </c>
      <c r="F141" s="9" t="s">
        <v>12</v>
      </c>
      <c r="G141" s="10">
        <v>2438.56</v>
      </c>
      <c r="H141" s="10">
        <v>731.57</v>
      </c>
      <c r="I141" s="9">
        <v>16</v>
      </c>
      <c r="J141" s="11">
        <f t="shared" si="4"/>
        <v>0.30000082015615775</v>
      </c>
      <c r="K141" s="20">
        <f t="shared" si="5"/>
        <v>39016.959999999999</v>
      </c>
    </row>
    <row r="142" spans="1:11" ht="36.6" hidden="1" customHeight="1" x14ac:dyDescent="0.3">
      <c r="A142" s="6" t="s">
        <v>283</v>
      </c>
      <c r="B142" s="7">
        <v>45617</v>
      </c>
      <c r="C142" s="8" t="str">
        <f>TEXT(Table1[[#This Row],[Order_Date]],"MMM-YYYY")</f>
        <v>Nov-2024</v>
      </c>
      <c r="D142" s="9" t="s">
        <v>15</v>
      </c>
      <c r="E142" s="9" t="s">
        <v>111</v>
      </c>
      <c r="F142" s="9" t="s">
        <v>17</v>
      </c>
      <c r="G142" s="10">
        <v>14437.28</v>
      </c>
      <c r="H142" s="10">
        <v>3176.2</v>
      </c>
      <c r="I142" s="9">
        <v>16</v>
      </c>
      <c r="J142" s="11">
        <f t="shared" si="4"/>
        <v>0.21999988917580041</v>
      </c>
      <c r="K142" s="20">
        <f t="shared" si="5"/>
        <v>230996.48000000001</v>
      </c>
    </row>
    <row r="143" spans="1:11" ht="36.6" hidden="1" customHeight="1" x14ac:dyDescent="0.3">
      <c r="A143" s="6" t="s">
        <v>285</v>
      </c>
      <c r="B143" s="7">
        <v>45618</v>
      </c>
      <c r="C143" s="8" t="str">
        <f>TEXT(Table1[[#This Row],[Order_Date]],"MMM-YYYY")</f>
        <v>Nov-2024</v>
      </c>
      <c r="D143" s="9" t="s">
        <v>36</v>
      </c>
      <c r="E143" s="9" t="s">
        <v>23</v>
      </c>
      <c r="F143" s="9" t="s">
        <v>12</v>
      </c>
      <c r="G143" s="10">
        <v>1328.16</v>
      </c>
      <c r="H143" s="10">
        <v>398.45</v>
      </c>
      <c r="I143" s="9">
        <v>8</v>
      </c>
      <c r="J143" s="11">
        <f t="shared" si="4"/>
        <v>0.30000150584266955</v>
      </c>
      <c r="K143" s="20">
        <f t="shared" si="5"/>
        <v>10625.28</v>
      </c>
    </row>
    <row r="144" spans="1:11" ht="36.6" customHeight="1" x14ac:dyDescent="0.3">
      <c r="A144" s="24" t="s">
        <v>287</v>
      </c>
      <c r="B144" s="7">
        <v>45619</v>
      </c>
      <c r="C144" s="8" t="str">
        <f>TEXT(Table1[[#This Row],[Order_Date]],"MMM-YYYY")</f>
        <v>Nov-2024</v>
      </c>
      <c r="D144" s="9" t="s">
        <v>36</v>
      </c>
      <c r="E144" s="9" t="s">
        <v>20</v>
      </c>
      <c r="F144" s="9" t="s">
        <v>17</v>
      </c>
      <c r="G144" s="10">
        <v>4567.42</v>
      </c>
      <c r="H144" s="10">
        <v>1096.18</v>
      </c>
      <c r="I144" s="9">
        <v>11</v>
      </c>
      <c r="J144" s="11">
        <f t="shared" si="4"/>
        <v>0.23999982484641222</v>
      </c>
      <c r="K144" s="20">
        <f t="shared" si="5"/>
        <v>50241.62</v>
      </c>
    </row>
    <row r="145" spans="1:11" ht="36.6" hidden="1" customHeight="1" x14ac:dyDescent="0.3">
      <c r="A145" s="6" t="s">
        <v>288</v>
      </c>
      <c r="B145" s="7">
        <v>45620</v>
      </c>
      <c r="C145" s="8" t="str">
        <f>TEXT(Table1[[#This Row],[Order_Date]],"MMM-YYYY")</f>
        <v>Nov-2024</v>
      </c>
      <c r="D145" s="9" t="s">
        <v>36</v>
      </c>
      <c r="E145" s="9" t="s">
        <v>111</v>
      </c>
      <c r="F145" s="9" t="s">
        <v>17</v>
      </c>
      <c r="G145" s="10">
        <v>19542.2</v>
      </c>
      <c r="H145" s="10">
        <v>4299.28</v>
      </c>
      <c r="I145" s="9">
        <v>20</v>
      </c>
      <c r="J145" s="11">
        <f t="shared" si="4"/>
        <v>0.21999979531475472</v>
      </c>
      <c r="K145" s="20">
        <f t="shared" si="5"/>
        <v>390844</v>
      </c>
    </row>
    <row r="146" spans="1:11" ht="36.6" hidden="1" customHeight="1" x14ac:dyDescent="0.3">
      <c r="A146" s="6" t="s">
        <v>289</v>
      </c>
      <c r="B146" s="7">
        <v>45621</v>
      </c>
      <c r="C146" s="8" t="str">
        <f>TEXT(Table1[[#This Row],[Order_Date]],"MMM-YYYY")</f>
        <v>Nov-2024</v>
      </c>
      <c r="D146" s="9" t="s">
        <v>15</v>
      </c>
      <c r="E146" s="9" t="s">
        <v>44</v>
      </c>
      <c r="F146" s="9" t="s">
        <v>17</v>
      </c>
      <c r="G146" s="10">
        <v>10533.37</v>
      </c>
      <c r="H146" s="10">
        <v>2949.34</v>
      </c>
      <c r="I146" s="9">
        <v>17</v>
      </c>
      <c r="J146" s="11">
        <f t="shared" si="4"/>
        <v>0.27999965822903783</v>
      </c>
      <c r="K146" s="20">
        <f t="shared" si="5"/>
        <v>179067.29</v>
      </c>
    </row>
    <row r="147" spans="1:11" ht="36.6" hidden="1" customHeight="1" x14ac:dyDescent="0.3">
      <c r="A147" s="6" t="s">
        <v>291</v>
      </c>
      <c r="B147" s="7">
        <v>45622</v>
      </c>
      <c r="C147" s="8" t="str">
        <f>TEXT(Table1[[#This Row],[Order_Date]],"MMM-YYYY")</f>
        <v>Nov-2024</v>
      </c>
      <c r="D147" s="9" t="s">
        <v>10</v>
      </c>
      <c r="E147" s="9" t="s">
        <v>23</v>
      </c>
      <c r="F147" s="9" t="s">
        <v>12</v>
      </c>
      <c r="G147" s="10">
        <v>1065.44</v>
      </c>
      <c r="H147" s="10">
        <v>319.63</v>
      </c>
      <c r="I147" s="9">
        <v>8</v>
      </c>
      <c r="J147" s="11">
        <f t="shared" si="4"/>
        <v>0.29999812284126742</v>
      </c>
      <c r="K147" s="20">
        <f t="shared" si="5"/>
        <v>8523.52</v>
      </c>
    </row>
    <row r="148" spans="1:11" ht="36.6" hidden="1" customHeight="1" x14ac:dyDescent="0.3">
      <c r="A148" s="6" t="s">
        <v>293</v>
      </c>
      <c r="B148" s="7">
        <v>45623</v>
      </c>
      <c r="C148" s="8" t="str">
        <f>TEXT(Table1[[#This Row],[Order_Date]],"MMM-YYYY")</f>
        <v>Nov-2024</v>
      </c>
      <c r="D148" s="9" t="s">
        <v>36</v>
      </c>
      <c r="E148" s="9" t="s">
        <v>40</v>
      </c>
      <c r="F148" s="9" t="s">
        <v>41</v>
      </c>
      <c r="G148" s="10">
        <v>4314.5200000000004</v>
      </c>
      <c r="H148" s="10">
        <v>776.61</v>
      </c>
      <c r="I148" s="9">
        <v>19</v>
      </c>
      <c r="J148" s="11">
        <f t="shared" si="4"/>
        <v>0.17999916560822524</v>
      </c>
      <c r="K148" s="20">
        <f t="shared" si="5"/>
        <v>81975.88</v>
      </c>
    </row>
    <row r="149" spans="1:11" ht="36.6" hidden="1" customHeight="1" x14ac:dyDescent="0.3">
      <c r="A149" s="6" t="s">
        <v>294</v>
      </c>
      <c r="B149" s="7">
        <v>45624</v>
      </c>
      <c r="C149" s="8" t="str">
        <f>TEXT(Table1[[#This Row],[Order_Date]],"MMM-YYYY")</f>
        <v>Nov-2024</v>
      </c>
      <c r="D149" s="9" t="s">
        <v>36</v>
      </c>
      <c r="E149" s="9" t="s">
        <v>11</v>
      </c>
      <c r="F149" s="9" t="s">
        <v>12</v>
      </c>
      <c r="G149" s="10">
        <v>1509.84</v>
      </c>
      <c r="H149" s="10">
        <v>528.44000000000005</v>
      </c>
      <c r="I149" s="9">
        <v>18</v>
      </c>
      <c r="J149" s="11">
        <f t="shared" si="4"/>
        <v>0.34999735071265836</v>
      </c>
      <c r="K149" s="20">
        <f t="shared" si="5"/>
        <v>27177.119999999999</v>
      </c>
    </row>
    <row r="150" spans="1:11" ht="36.6" hidden="1" customHeight="1" x14ac:dyDescent="0.3">
      <c r="A150" s="6" t="s">
        <v>295</v>
      </c>
      <c r="B150" s="7">
        <v>45625</v>
      </c>
      <c r="C150" s="8" t="str">
        <f>TEXT(Table1[[#This Row],[Order_Date]],"MMM-YYYY")</f>
        <v>Nov-2024</v>
      </c>
      <c r="D150" s="9" t="s">
        <v>10</v>
      </c>
      <c r="E150" s="9" t="s">
        <v>49</v>
      </c>
      <c r="F150" s="9" t="s">
        <v>12</v>
      </c>
      <c r="G150" s="10">
        <v>969.57</v>
      </c>
      <c r="H150" s="10">
        <v>310.26</v>
      </c>
      <c r="I150" s="9">
        <v>9</v>
      </c>
      <c r="J150" s="11">
        <f t="shared" si="4"/>
        <v>0.31999752467588721</v>
      </c>
      <c r="K150" s="20">
        <f t="shared" si="5"/>
        <v>8726.130000000001</v>
      </c>
    </row>
    <row r="151" spans="1:11" ht="36.6" customHeight="1" x14ac:dyDescent="0.3">
      <c r="A151" s="24" t="s">
        <v>297</v>
      </c>
      <c r="B151" s="7">
        <v>45626</v>
      </c>
      <c r="C151" s="8" t="str">
        <f>TEXT(Table1[[#This Row],[Order_Date]],"MMM-YYYY")</f>
        <v>Nov-2024</v>
      </c>
      <c r="D151" s="9" t="s">
        <v>31</v>
      </c>
      <c r="E151" s="9" t="s">
        <v>20</v>
      </c>
      <c r="F151" s="9" t="s">
        <v>17</v>
      </c>
      <c r="G151" s="10">
        <v>5343.39</v>
      </c>
      <c r="H151" s="10">
        <v>1282.4100000000001</v>
      </c>
      <c r="I151" s="9">
        <v>13</v>
      </c>
      <c r="J151" s="11">
        <f t="shared" si="4"/>
        <v>0.23999932627040138</v>
      </c>
      <c r="K151" s="20">
        <f t="shared" si="5"/>
        <v>69464.070000000007</v>
      </c>
    </row>
    <row r="152" spans="1:11" ht="36.6" customHeight="1" x14ac:dyDescent="0.3">
      <c r="A152" s="24" t="s">
        <v>299</v>
      </c>
      <c r="B152" s="7">
        <v>45627</v>
      </c>
      <c r="C152" s="8" t="str">
        <f>TEXT(Table1[[#This Row],[Order_Date]],"MMM-YYYY")</f>
        <v>Dec-2024</v>
      </c>
      <c r="D152" s="9" t="s">
        <v>31</v>
      </c>
      <c r="E152" s="9" t="s">
        <v>20</v>
      </c>
      <c r="F152" s="9" t="s">
        <v>17</v>
      </c>
      <c r="G152" s="10">
        <v>6766.74</v>
      </c>
      <c r="H152" s="10">
        <v>1624.02</v>
      </c>
      <c r="I152" s="9">
        <v>18</v>
      </c>
      <c r="J152" s="11">
        <f t="shared" si="4"/>
        <v>0.24000035467595918</v>
      </c>
      <c r="K152" s="20">
        <f t="shared" si="5"/>
        <v>121801.31999999999</v>
      </c>
    </row>
    <row r="153" spans="1:11" ht="36.6" hidden="1" customHeight="1" x14ac:dyDescent="0.3">
      <c r="A153" s="6" t="s">
        <v>301</v>
      </c>
      <c r="B153" s="7">
        <v>45628</v>
      </c>
      <c r="C153" s="8" t="str">
        <f>TEXT(Table1[[#This Row],[Order_Date]],"MMM-YYYY")</f>
        <v>Dec-2024</v>
      </c>
      <c r="D153" s="9" t="s">
        <v>10</v>
      </c>
      <c r="E153" s="9" t="s">
        <v>44</v>
      </c>
      <c r="F153" s="9" t="s">
        <v>17</v>
      </c>
      <c r="G153" s="10">
        <v>2758.15</v>
      </c>
      <c r="H153" s="10">
        <v>772.28</v>
      </c>
      <c r="I153" s="9">
        <v>5</v>
      </c>
      <c r="J153" s="11">
        <f t="shared" si="4"/>
        <v>0.27999927487627574</v>
      </c>
      <c r="K153" s="20">
        <f t="shared" si="5"/>
        <v>13790.75</v>
      </c>
    </row>
    <row r="154" spans="1:11" ht="36.6" hidden="1" customHeight="1" x14ac:dyDescent="0.3">
      <c r="A154" s="6" t="s">
        <v>302</v>
      </c>
      <c r="B154" s="7">
        <v>45629</v>
      </c>
      <c r="C154" s="8" t="str">
        <f>TEXT(Table1[[#This Row],[Order_Date]],"MMM-YYYY")</f>
        <v>Dec-2024</v>
      </c>
      <c r="D154" s="9" t="s">
        <v>36</v>
      </c>
      <c r="E154" s="9" t="s">
        <v>26</v>
      </c>
      <c r="F154" s="9" t="s">
        <v>12</v>
      </c>
      <c r="G154" s="10">
        <v>165.84</v>
      </c>
      <c r="H154" s="10">
        <v>63.02</v>
      </c>
      <c r="I154" s="9">
        <v>3</v>
      </c>
      <c r="J154" s="11">
        <f t="shared" si="4"/>
        <v>0.38000482392667634</v>
      </c>
      <c r="K154" s="20">
        <f t="shared" si="5"/>
        <v>497.52</v>
      </c>
    </row>
    <row r="155" spans="1:11" ht="36.6" customHeight="1" x14ac:dyDescent="0.3">
      <c r="A155" s="24" t="s">
        <v>303</v>
      </c>
      <c r="B155" s="7">
        <v>45630</v>
      </c>
      <c r="C155" s="8" t="str">
        <f>TEXT(Table1[[#This Row],[Order_Date]],"MMM-YYYY")</f>
        <v>Dec-2024</v>
      </c>
      <c r="D155" s="9" t="s">
        <v>10</v>
      </c>
      <c r="E155" s="9" t="s">
        <v>20</v>
      </c>
      <c r="F155" s="9" t="s">
        <v>17</v>
      </c>
      <c r="G155" s="10">
        <v>3109.14</v>
      </c>
      <c r="H155" s="10">
        <v>746.19</v>
      </c>
      <c r="I155" s="9">
        <v>9</v>
      </c>
      <c r="J155" s="11">
        <f t="shared" si="4"/>
        <v>0.23999884212354544</v>
      </c>
      <c r="K155" s="20">
        <f t="shared" si="5"/>
        <v>27982.26</v>
      </c>
    </row>
    <row r="156" spans="1:11" ht="36.6" hidden="1" customHeight="1" x14ac:dyDescent="0.3">
      <c r="A156" s="6" t="s">
        <v>305</v>
      </c>
      <c r="B156" s="7">
        <v>45631</v>
      </c>
      <c r="C156" s="8" t="str">
        <f>TEXT(Table1[[#This Row],[Order_Date]],"MMM-YYYY")</f>
        <v>Dec-2024</v>
      </c>
      <c r="D156" s="9" t="s">
        <v>15</v>
      </c>
      <c r="E156" s="9" t="s">
        <v>26</v>
      </c>
      <c r="F156" s="9" t="s">
        <v>12</v>
      </c>
      <c r="G156" s="10">
        <v>213.2</v>
      </c>
      <c r="H156" s="10">
        <v>81.02</v>
      </c>
      <c r="I156" s="9">
        <v>4</v>
      </c>
      <c r="J156" s="11">
        <f t="shared" si="4"/>
        <v>0.38001876172607879</v>
      </c>
      <c r="K156" s="20">
        <f t="shared" si="5"/>
        <v>852.8</v>
      </c>
    </row>
    <row r="157" spans="1:11" ht="36.6" customHeight="1" x14ac:dyDescent="0.3">
      <c r="A157" s="24" t="s">
        <v>307</v>
      </c>
      <c r="B157" s="7">
        <v>45632</v>
      </c>
      <c r="C157" s="8" t="str">
        <f>TEXT(Table1[[#This Row],[Order_Date]],"MMM-YYYY")</f>
        <v>Dec-2024</v>
      </c>
      <c r="D157" s="9" t="s">
        <v>10</v>
      </c>
      <c r="E157" s="9" t="s">
        <v>20</v>
      </c>
      <c r="F157" s="9" t="s">
        <v>17</v>
      </c>
      <c r="G157" s="10">
        <v>7773.85</v>
      </c>
      <c r="H157" s="10">
        <v>1865.72</v>
      </c>
      <c r="I157" s="9">
        <v>19</v>
      </c>
      <c r="J157" s="11">
        <f t="shared" si="4"/>
        <v>0.23999948545444019</v>
      </c>
      <c r="K157" s="20">
        <f t="shared" si="5"/>
        <v>147703.15</v>
      </c>
    </row>
    <row r="158" spans="1:11" ht="36.6" customHeight="1" x14ac:dyDescent="0.3">
      <c r="A158" s="24" t="s">
        <v>309</v>
      </c>
      <c r="B158" s="7">
        <v>45633</v>
      </c>
      <c r="C158" s="8" t="str">
        <f>TEXT(Table1[[#This Row],[Order_Date]],"MMM-YYYY")</f>
        <v>Dec-2024</v>
      </c>
      <c r="D158" s="9" t="s">
        <v>31</v>
      </c>
      <c r="E158" s="9" t="s">
        <v>20</v>
      </c>
      <c r="F158" s="9" t="s">
        <v>17</v>
      </c>
      <c r="G158" s="10">
        <v>7714.09</v>
      </c>
      <c r="H158" s="10">
        <v>1851.38</v>
      </c>
      <c r="I158" s="9">
        <v>17</v>
      </c>
      <c r="J158" s="11">
        <f t="shared" si="4"/>
        <v>0.23999979258733048</v>
      </c>
      <c r="K158" s="20">
        <f t="shared" si="5"/>
        <v>131139.53</v>
      </c>
    </row>
    <row r="159" spans="1:11" ht="36.6" hidden="1" customHeight="1" x14ac:dyDescent="0.3">
      <c r="A159" s="6" t="s">
        <v>310</v>
      </c>
      <c r="B159" s="7">
        <v>45634</v>
      </c>
      <c r="C159" s="8" t="str">
        <f>TEXT(Table1[[#This Row],[Order_Date]],"MMM-YYYY")</f>
        <v>Dec-2024</v>
      </c>
      <c r="D159" s="9" t="s">
        <v>10</v>
      </c>
      <c r="E159" s="9" t="s">
        <v>49</v>
      </c>
      <c r="F159" s="9" t="s">
        <v>12</v>
      </c>
      <c r="G159" s="10">
        <v>226.2</v>
      </c>
      <c r="H159" s="10">
        <v>72.38</v>
      </c>
      <c r="I159" s="9">
        <v>2</v>
      </c>
      <c r="J159" s="11">
        <f t="shared" si="4"/>
        <v>0.31998231653404069</v>
      </c>
      <c r="K159" s="20">
        <f t="shared" si="5"/>
        <v>452.4</v>
      </c>
    </row>
    <row r="160" spans="1:11" ht="36.6" hidden="1" customHeight="1" x14ac:dyDescent="0.3">
      <c r="A160" s="6" t="s">
        <v>312</v>
      </c>
      <c r="B160" s="7">
        <v>45635</v>
      </c>
      <c r="C160" s="8" t="str">
        <f>TEXT(Table1[[#This Row],[Order_Date]],"MMM-YYYY")</f>
        <v>Dec-2024</v>
      </c>
      <c r="D160" s="9" t="s">
        <v>15</v>
      </c>
      <c r="E160" s="9" t="s">
        <v>40</v>
      </c>
      <c r="F160" s="9" t="s">
        <v>41</v>
      </c>
      <c r="G160" s="10">
        <v>2965.49</v>
      </c>
      <c r="H160" s="10">
        <v>533.79</v>
      </c>
      <c r="I160" s="9">
        <v>11</v>
      </c>
      <c r="J160" s="11">
        <f t="shared" si="4"/>
        <v>0.18000060698231996</v>
      </c>
      <c r="K160" s="20">
        <f t="shared" si="5"/>
        <v>32620.39</v>
      </c>
    </row>
    <row r="161" spans="1:11" ht="36.6" hidden="1" customHeight="1" x14ac:dyDescent="0.3">
      <c r="A161" s="6" t="s">
        <v>314</v>
      </c>
      <c r="B161" s="7">
        <v>45636</v>
      </c>
      <c r="C161" s="8" t="str">
        <f>TEXT(Table1[[#This Row],[Order_Date]],"MMM-YYYY")</f>
        <v>Dec-2024</v>
      </c>
      <c r="D161" s="9" t="s">
        <v>10</v>
      </c>
      <c r="E161" s="9" t="s">
        <v>44</v>
      </c>
      <c r="F161" s="9" t="s">
        <v>17</v>
      </c>
      <c r="G161" s="10">
        <v>4807.68</v>
      </c>
      <c r="H161" s="10">
        <v>1346.15</v>
      </c>
      <c r="I161" s="9">
        <v>8</v>
      </c>
      <c r="J161" s="11">
        <f t="shared" si="4"/>
        <v>0.27999991679978703</v>
      </c>
      <c r="K161" s="20">
        <f t="shared" si="5"/>
        <v>38461.440000000002</v>
      </c>
    </row>
    <row r="162" spans="1:11" ht="36.6" hidden="1" customHeight="1" x14ac:dyDescent="0.3">
      <c r="A162" s="6" t="s">
        <v>316</v>
      </c>
      <c r="B162" s="7">
        <v>45637</v>
      </c>
      <c r="C162" s="8" t="str">
        <f>TEXT(Table1[[#This Row],[Order_Date]],"MMM-YYYY")</f>
        <v>Dec-2024</v>
      </c>
      <c r="D162" s="9" t="s">
        <v>36</v>
      </c>
      <c r="E162" s="9" t="s">
        <v>11</v>
      </c>
      <c r="F162" s="9" t="s">
        <v>12</v>
      </c>
      <c r="G162" s="10">
        <v>720.09</v>
      </c>
      <c r="H162" s="10">
        <v>252.03</v>
      </c>
      <c r="I162" s="9">
        <v>9</v>
      </c>
      <c r="J162" s="11">
        <f t="shared" si="4"/>
        <v>0.34999791692705079</v>
      </c>
      <c r="K162" s="20">
        <f t="shared" si="5"/>
        <v>6480.81</v>
      </c>
    </row>
    <row r="163" spans="1:11" ht="36.6" hidden="1" customHeight="1" x14ac:dyDescent="0.3">
      <c r="A163" s="6" t="s">
        <v>318</v>
      </c>
      <c r="B163" s="7">
        <v>45638</v>
      </c>
      <c r="C163" s="8" t="str">
        <f>TEXT(Table1[[#This Row],[Order_Date]],"MMM-YYYY")</f>
        <v>Dec-2024</v>
      </c>
      <c r="D163" s="9" t="s">
        <v>31</v>
      </c>
      <c r="E163" s="9" t="s">
        <v>111</v>
      </c>
      <c r="F163" s="9" t="s">
        <v>17</v>
      </c>
      <c r="G163" s="10">
        <v>10599.4</v>
      </c>
      <c r="H163" s="10">
        <v>2331.87</v>
      </c>
      <c r="I163" s="9">
        <v>14</v>
      </c>
      <c r="J163" s="11">
        <f t="shared" si="4"/>
        <v>0.22000018868992585</v>
      </c>
      <c r="K163" s="20">
        <f t="shared" si="5"/>
        <v>148391.6</v>
      </c>
    </row>
    <row r="164" spans="1:11" ht="36.6" hidden="1" customHeight="1" x14ac:dyDescent="0.3">
      <c r="A164" s="6" t="s">
        <v>320</v>
      </c>
      <c r="B164" s="7">
        <v>45639</v>
      </c>
      <c r="C164" s="8" t="str">
        <f>TEXT(Table1[[#This Row],[Order_Date]],"MMM-YYYY")</f>
        <v>Dec-2024</v>
      </c>
      <c r="D164" s="9" t="s">
        <v>10</v>
      </c>
      <c r="E164" s="9" t="s">
        <v>44</v>
      </c>
      <c r="F164" s="9" t="s">
        <v>17</v>
      </c>
      <c r="G164" s="10">
        <v>4777.0200000000004</v>
      </c>
      <c r="H164" s="10">
        <v>1337.57</v>
      </c>
      <c r="I164" s="9">
        <v>9</v>
      </c>
      <c r="J164" s="11">
        <f t="shared" si="4"/>
        <v>0.28000092107631952</v>
      </c>
      <c r="K164" s="20">
        <f t="shared" si="5"/>
        <v>42993.180000000008</v>
      </c>
    </row>
    <row r="165" spans="1:11" ht="36.6" hidden="1" customHeight="1" x14ac:dyDescent="0.3">
      <c r="A165" s="6" t="s">
        <v>321</v>
      </c>
      <c r="B165" s="7">
        <v>45640</v>
      </c>
      <c r="C165" s="8" t="str">
        <f>TEXT(Table1[[#This Row],[Order_Date]],"MMM-YYYY")</f>
        <v>Dec-2024</v>
      </c>
      <c r="D165" s="9" t="s">
        <v>36</v>
      </c>
      <c r="E165" s="9" t="s">
        <v>11</v>
      </c>
      <c r="F165" s="9" t="s">
        <v>12</v>
      </c>
      <c r="G165" s="10">
        <v>253.5</v>
      </c>
      <c r="H165" s="10">
        <v>88.72</v>
      </c>
      <c r="I165" s="9">
        <v>3</v>
      </c>
      <c r="J165" s="11">
        <f t="shared" si="4"/>
        <v>0.3499802761341223</v>
      </c>
      <c r="K165" s="20">
        <f t="shared" si="5"/>
        <v>760.5</v>
      </c>
    </row>
    <row r="166" spans="1:11" ht="36.6" hidden="1" customHeight="1" x14ac:dyDescent="0.3">
      <c r="A166" s="6" t="s">
        <v>323</v>
      </c>
      <c r="B166" s="7">
        <v>45641</v>
      </c>
      <c r="C166" s="8" t="str">
        <f>TEXT(Table1[[#This Row],[Order_Date]],"MMM-YYYY")</f>
        <v>Dec-2024</v>
      </c>
      <c r="D166" s="9" t="s">
        <v>31</v>
      </c>
      <c r="E166" s="9" t="s">
        <v>16</v>
      </c>
      <c r="F166" s="9" t="s">
        <v>17</v>
      </c>
      <c r="G166" s="10">
        <v>3903.12</v>
      </c>
      <c r="H166" s="10">
        <v>975.78</v>
      </c>
      <c r="I166" s="9">
        <v>9</v>
      </c>
      <c r="J166" s="11">
        <f t="shared" si="4"/>
        <v>0.25</v>
      </c>
      <c r="K166" s="20">
        <f t="shared" si="5"/>
        <v>35128.080000000002</v>
      </c>
    </row>
    <row r="167" spans="1:11" ht="36.6" hidden="1" customHeight="1" x14ac:dyDescent="0.3">
      <c r="A167" s="6" t="s">
        <v>325</v>
      </c>
      <c r="B167" s="7">
        <v>45642</v>
      </c>
      <c r="C167" s="8" t="str">
        <f>TEXT(Table1[[#This Row],[Order_Date]],"MMM-YYYY")</f>
        <v>Dec-2024</v>
      </c>
      <c r="D167" s="9" t="s">
        <v>36</v>
      </c>
      <c r="E167" s="9" t="s">
        <v>11</v>
      </c>
      <c r="F167" s="9" t="s">
        <v>12</v>
      </c>
      <c r="G167" s="10">
        <v>993.3</v>
      </c>
      <c r="H167" s="10">
        <v>347.65</v>
      </c>
      <c r="I167" s="9">
        <v>11</v>
      </c>
      <c r="J167" s="11">
        <f t="shared" si="4"/>
        <v>0.34999496627403603</v>
      </c>
      <c r="K167" s="20">
        <f t="shared" si="5"/>
        <v>10926.3</v>
      </c>
    </row>
    <row r="168" spans="1:11" ht="36.6" hidden="1" customHeight="1" x14ac:dyDescent="0.3">
      <c r="A168" s="6" t="s">
        <v>327</v>
      </c>
      <c r="B168" s="7">
        <v>45643</v>
      </c>
      <c r="C168" s="8" t="str">
        <f>TEXT(Table1[[#This Row],[Order_Date]],"MMM-YYYY")</f>
        <v>Dec-2024</v>
      </c>
      <c r="D168" s="9" t="s">
        <v>31</v>
      </c>
      <c r="E168" s="9" t="s">
        <v>37</v>
      </c>
      <c r="F168" s="9" t="s">
        <v>17</v>
      </c>
      <c r="G168" s="10">
        <v>3296.81</v>
      </c>
      <c r="H168" s="10">
        <v>659.36</v>
      </c>
      <c r="I168" s="9">
        <v>11</v>
      </c>
      <c r="J168" s="11">
        <f t="shared" si="4"/>
        <v>0.19999939335296849</v>
      </c>
      <c r="K168" s="20">
        <f t="shared" si="5"/>
        <v>36264.909999999996</v>
      </c>
    </row>
    <row r="169" spans="1:11" ht="36.6" hidden="1" customHeight="1" x14ac:dyDescent="0.3">
      <c r="A169" s="6" t="s">
        <v>329</v>
      </c>
      <c r="B169" s="7">
        <v>45644</v>
      </c>
      <c r="C169" s="8" t="str">
        <f>TEXT(Table1[[#This Row],[Order_Date]],"MMM-YYYY")</f>
        <v>Dec-2024</v>
      </c>
      <c r="D169" s="9" t="s">
        <v>15</v>
      </c>
      <c r="E169" s="9" t="s">
        <v>37</v>
      </c>
      <c r="F169" s="9" t="s">
        <v>17</v>
      </c>
      <c r="G169" s="10">
        <v>1975.44</v>
      </c>
      <c r="H169" s="10">
        <v>395.09</v>
      </c>
      <c r="I169" s="9">
        <v>6</v>
      </c>
      <c r="J169" s="11">
        <f t="shared" si="4"/>
        <v>0.20000101243267321</v>
      </c>
      <c r="K169" s="20">
        <f t="shared" si="5"/>
        <v>11852.64</v>
      </c>
    </row>
    <row r="170" spans="1:11" ht="36.6" hidden="1" customHeight="1" x14ac:dyDescent="0.3">
      <c r="A170" s="6" t="s">
        <v>331</v>
      </c>
      <c r="B170" s="7">
        <v>45645</v>
      </c>
      <c r="C170" s="8" t="str">
        <f>TEXT(Table1[[#This Row],[Order_Date]],"MMM-YYYY")</f>
        <v>Dec-2024</v>
      </c>
      <c r="D170" s="9" t="s">
        <v>10</v>
      </c>
      <c r="E170" s="9" t="s">
        <v>49</v>
      </c>
      <c r="F170" s="9" t="s">
        <v>12</v>
      </c>
      <c r="G170" s="10">
        <v>369.96</v>
      </c>
      <c r="H170" s="10">
        <v>118.39</v>
      </c>
      <c r="I170" s="9">
        <v>3</v>
      </c>
      <c r="J170" s="11">
        <f t="shared" si="4"/>
        <v>0.32000756838577143</v>
      </c>
      <c r="K170" s="20">
        <f t="shared" si="5"/>
        <v>1109.8799999999999</v>
      </c>
    </row>
    <row r="171" spans="1:11" ht="36.6" hidden="1" customHeight="1" x14ac:dyDescent="0.3">
      <c r="A171" s="6" t="s">
        <v>333</v>
      </c>
      <c r="B171" s="7">
        <v>45646</v>
      </c>
      <c r="C171" s="8" t="str">
        <f>TEXT(Table1[[#This Row],[Order_Date]],"MMM-YYYY")</f>
        <v>Dec-2024</v>
      </c>
      <c r="D171" s="9" t="s">
        <v>10</v>
      </c>
      <c r="E171" s="9" t="s">
        <v>44</v>
      </c>
      <c r="F171" s="9" t="s">
        <v>17</v>
      </c>
      <c r="G171" s="10">
        <v>9481.58</v>
      </c>
      <c r="H171" s="10">
        <v>2654.84</v>
      </c>
      <c r="I171" s="9">
        <v>17</v>
      </c>
      <c r="J171" s="11">
        <f t="shared" si="4"/>
        <v>0.27999974687763013</v>
      </c>
      <c r="K171" s="20">
        <f t="shared" si="5"/>
        <v>161186.85999999999</v>
      </c>
    </row>
    <row r="172" spans="1:11" ht="36.6" hidden="1" customHeight="1" x14ac:dyDescent="0.3">
      <c r="A172" s="6" t="s">
        <v>335</v>
      </c>
      <c r="B172" s="7">
        <v>45647</v>
      </c>
      <c r="C172" s="8" t="str">
        <f>TEXT(Table1[[#This Row],[Order_Date]],"MMM-YYYY")</f>
        <v>Dec-2024</v>
      </c>
      <c r="D172" s="9" t="s">
        <v>31</v>
      </c>
      <c r="E172" s="9" t="s">
        <v>40</v>
      </c>
      <c r="F172" s="9" t="s">
        <v>41</v>
      </c>
      <c r="G172" s="10">
        <v>1249.4000000000001</v>
      </c>
      <c r="H172" s="10">
        <v>224.89</v>
      </c>
      <c r="I172" s="9">
        <v>5</v>
      </c>
      <c r="J172" s="11">
        <f t="shared" si="4"/>
        <v>0.17999839923163116</v>
      </c>
      <c r="K172" s="20">
        <f t="shared" si="5"/>
        <v>6247</v>
      </c>
    </row>
    <row r="173" spans="1:11" ht="36.6" hidden="1" customHeight="1" x14ac:dyDescent="0.3">
      <c r="A173" s="6" t="s">
        <v>337</v>
      </c>
      <c r="B173" s="7">
        <v>45648</v>
      </c>
      <c r="C173" s="8" t="str">
        <f>TEXT(Table1[[#This Row],[Order_Date]],"MMM-YYYY")</f>
        <v>Dec-2024</v>
      </c>
      <c r="D173" s="9" t="s">
        <v>36</v>
      </c>
      <c r="E173" s="9" t="s">
        <v>11</v>
      </c>
      <c r="F173" s="9" t="s">
        <v>12</v>
      </c>
      <c r="G173" s="10">
        <v>816.5</v>
      </c>
      <c r="H173" s="10">
        <v>285.77</v>
      </c>
      <c r="I173" s="9">
        <v>10</v>
      </c>
      <c r="J173" s="11">
        <f t="shared" si="4"/>
        <v>0.34999387630128598</v>
      </c>
      <c r="K173" s="20">
        <f t="shared" si="5"/>
        <v>8165</v>
      </c>
    </row>
    <row r="174" spans="1:11" ht="36.6" hidden="1" customHeight="1" x14ac:dyDescent="0.3">
      <c r="A174" s="6" t="s">
        <v>339</v>
      </c>
      <c r="B174" s="7">
        <v>45649</v>
      </c>
      <c r="C174" s="8" t="str">
        <f>TEXT(Table1[[#This Row],[Order_Date]],"MMM-YYYY")</f>
        <v>Dec-2024</v>
      </c>
      <c r="D174" s="9" t="s">
        <v>36</v>
      </c>
      <c r="E174" s="9" t="s">
        <v>37</v>
      </c>
      <c r="F174" s="9" t="s">
        <v>17</v>
      </c>
      <c r="G174" s="10">
        <v>7734.4</v>
      </c>
      <c r="H174" s="10">
        <v>1546.88</v>
      </c>
      <c r="I174" s="9">
        <v>20</v>
      </c>
      <c r="J174" s="11">
        <f t="shared" si="4"/>
        <v>0.2</v>
      </c>
      <c r="K174" s="20">
        <f t="shared" si="5"/>
        <v>154688</v>
      </c>
    </row>
    <row r="175" spans="1:11" ht="36.6" hidden="1" customHeight="1" x14ac:dyDescent="0.3">
      <c r="A175" s="6" t="s">
        <v>341</v>
      </c>
      <c r="B175" s="7">
        <v>45650</v>
      </c>
      <c r="C175" s="8" t="str">
        <f>TEXT(Table1[[#This Row],[Order_Date]],"MMM-YYYY")</f>
        <v>Dec-2024</v>
      </c>
      <c r="D175" s="9" t="s">
        <v>31</v>
      </c>
      <c r="E175" s="9" t="s">
        <v>11</v>
      </c>
      <c r="F175" s="9" t="s">
        <v>12</v>
      </c>
      <c r="G175" s="10">
        <v>566.72</v>
      </c>
      <c r="H175" s="10">
        <v>198.35</v>
      </c>
      <c r="I175" s="9">
        <v>8</v>
      </c>
      <c r="J175" s="11">
        <f t="shared" si="4"/>
        <v>0.34999647092038394</v>
      </c>
      <c r="K175" s="20">
        <f t="shared" si="5"/>
        <v>4533.76</v>
      </c>
    </row>
    <row r="176" spans="1:11" ht="36.6" hidden="1" customHeight="1" x14ac:dyDescent="0.3">
      <c r="A176" s="6" t="s">
        <v>343</v>
      </c>
      <c r="B176" s="7">
        <v>45651</v>
      </c>
      <c r="C176" s="8" t="str">
        <f>TEXT(Table1[[#This Row],[Order_Date]],"MMM-YYYY")</f>
        <v>Dec-2024</v>
      </c>
      <c r="D176" s="9" t="s">
        <v>15</v>
      </c>
      <c r="E176" s="9" t="s">
        <v>49</v>
      </c>
      <c r="F176" s="9" t="s">
        <v>12</v>
      </c>
      <c r="G176" s="10">
        <v>1103.2</v>
      </c>
      <c r="H176" s="10">
        <v>353.02</v>
      </c>
      <c r="I176" s="9">
        <v>8</v>
      </c>
      <c r="J176" s="11">
        <f t="shared" si="4"/>
        <v>0.31999637418419141</v>
      </c>
      <c r="K176" s="20">
        <f t="shared" si="5"/>
        <v>8825.6</v>
      </c>
    </row>
    <row r="177" spans="1:11" ht="36.6" hidden="1" customHeight="1" x14ac:dyDescent="0.3">
      <c r="A177" s="6" t="s">
        <v>345</v>
      </c>
      <c r="B177" s="7">
        <v>45652</v>
      </c>
      <c r="C177" s="8" t="str">
        <f>TEXT(Table1[[#This Row],[Order_Date]],"MMM-YYYY")</f>
        <v>Dec-2024</v>
      </c>
      <c r="D177" s="9" t="s">
        <v>10</v>
      </c>
      <c r="E177" s="9" t="s">
        <v>37</v>
      </c>
      <c r="F177" s="9" t="s">
        <v>17</v>
      </c>
      <c r="G177" s="10">
        <v>2476.67</v>
      </c>
      <c r="H177" s="10">
        <v>495.33</v>
      </c>
      <c r="I177" s="9">
        <v>7</v>
      </c>
      <c r="J177" s="11">
        <f t="shared" si="4"/>
        <v>0.19999838492814948</v>
      </c>
      <c r="K177" s="20">
        <f t="shared" si="5"/>
        <v>17336.690000000002</v>
      </c>
    </row>
    <row r="178" spans="1:11" ht="36.6" hidden="1" customHeight="1" x14ac:dyDescent="0.3">
      <c r="A178" s="6" t="s">
        <v>346</v>
      </c>
      <c r="B178" s="7">
        <v>45653</v>
      </c>
      <c r="C178" s="8" t="str">
        <f>TEXT(Table1[[#This Row],[Order_Date]],"MMM-YYYY")</f>
        <v>Dec-2024</v>
      </c>
      <c r="D178" s="9" t="s">
        <v>31</v>
      </c>
      <c r="E178" s="9" t="s">
        <v>40</v>
      </c>
      <c r="F178" s="9" t="s">
        <v>41</v>
      </c>
      <c r="G178" s="10">
        <v>522.82000000000005</v>
      </c>
      <c r="H178" s="10">
        <v>94.11</v>
      </c>
      <c r="I178" s="9">
        <v>2</v>
      </c>
      <c r="J178" s="11">
        <f t="shared" si="4"/>
        <v>0.18000459049003478</v>
      </c>
      <c r="K178" s="20">
        <f t="shared" si="5"/>
        <v>1045.6400000000001</v>
      </c>
    </row>
    <row r="179" spans="1:11" ht="36.6" hidden="1" customHeight="1" x14ac:dyDescent="0.3">
      <c r="A179" s="6" t="s">
        <v>347</v>
      </c>
      <c r="B179" s="7">
        <v>45654</v>
      </c>
      <c r="C179" s="8" t="str">
        <f>TEXT(Table1[[#This Row],[Order_Date]],"MMM-YYYY")</f>
        <v>Dec-2024</v>
      </c>
      <c r="D179" s="9" t="s">
        <v>36</v>
      </c>
      <c r="E179" s="9" t="s">
        <v>49</v>
      </c>
      <c r="F179" s="9" t="s">
        <v>12</v>
      </c>
      <c r="G179" s="10">
        <v>1258.5</v>
      </c>
      <c r="H179" s="10">
        <v>402.72</v>
      </c>
      <c r="I179" s="9">
        <v>10</v>
      </c>
      <c r="J179" s="11">
        <f t="shared" si="4"/>
        <v>0.32</v>
      </c>
      <c r="K179" s="20">
        <f t="shared" si="5"/>
        <v>12585</v>
      </c>
    </row>
    <row r="180" spans="1:11" ht="36.6" hidden="1" customHeight="1" x14ac:dyDescent="0.3">
      <c r="A180" s="6" t="s">
        <v>349</v>
      </c>
      <c r="B180" s="7">
        <v>45655</v>
      </c>
      <c r="C180" s="8" t="str">
        <f>TEXT(Table1[[#This Row],[Order_Date]],"MMM-YYYY")</f>
        <v>Dec-2024</v>
      </c>
      <c r="D180" s="9" t="s">
        <v>15</v>
      </c>
      <c r="E180" s="9" t="s">
        <v>49</v>
      </c>
      <c r="F180" s="9" t="s">
        <v>12</v>
      </c>
      <c r="G180" s="10">
        <v>1527.6</v>
      </c>
      <c r="H180" s="10">
        <v>488.83</v>
      </c>
      <c r="I180" s="9">
        <v>12</v>
      </c>
      <c r="J180" s="11">
        <f t="shared" si="4"/>
        <v>0.31999869075674259</v>
      </c>
      <c r="K180" s="20">
        <f t="shared" si="5"/>
        <v>18331.199999999997</v>
      </c>
    </row>
    <row r="181" spans="1:11" ht="36.6" hidden="1" customHeight="1" x14ac:dyDescent="0.3">
      <c r="A181" s="6" t="s">
        <v>351</v>
      </c>
      <c r="B181" s="7">
        <v>45656</v>
      </c>
      <c r="C181" s="8" t="str">
        <f>TEXT(Table1[[#This Row],[Order_Date]],"MMM-YYYY")</f>
        <v>Dec-2024</v>
      </c>
      <c r="D181" s="9" t="s">
        <v>15</v>
      </c>
      <c r="E181" s="9" t="s">
        <v>40</v>
      </c>
      <c r="F181" s="9" t="s">
        <v>41</v>
      </c>
      <c r="G181" s="10">
        <v>2203.92</v>
      </c>
      <c r="H181" s="10">
        <v>396.71</v>
      </c>
      <c r="I181" s="9">
        <v>8</v>
      </c>
      <c r="J181" s="11">
        <f t="shared" si="4"/>
        <v>0.18000199644270207</v>
      </c>
      <c r="K181" s="20">
        <f t="shared" si="5"/>
        <v>17631.36</v>
      </c>
    </row>
    <row r="182" spans="1:11" ht="36.6" hidden="1" customHeight="1" x14ac:dyDescent="0.3">
      <c r="A182" s="6" t="s">
        <v>353</v>
      </c>
      <c r="B182" s="7">
        <v>45657</v>
      </c>
      <c r="C182" s="8" t="str">
        <f>TEXT(Table1[[#This Row],[Order_Date]],"MMM-YYYY")</f>
        <v>Dec-2024</v>
      </c>
      <c r="D182" s="9" t="s">
        <v>36</v>
      </c>
      <c r="E182" s="9" t="s">
        <v>11</v>
      </c>
      <c r="F182" s="9" t="s">
        <v>12</v>
      </c>
      <c r="G182" s="10">
        <v>688.08</v>
      </c>
      <c r="H182" s="10">
        <v>240.83</v>
      </c>
      <c r="I182" s="9">
        <v>8</v>
      </c>
      <c r="J182" s="11">
        <f t="shared" si="4"/>
        <v>0.35000290663876293</v>
      </c>
      <c r="K182" s="20">
        <f t="shared" si="5"/>
        <v>5504.64</v>
      </c>
    </row>
    <row r="183" spans="1:11" ht="36.6" hidden="1" customHeight="1" x14ac:dyDescent="0.3">
      <c r="A183" s="6" t="s">
        <v>355</v>
      </c>
      <c r="B183" s="7">
        <v>45658</v>
      </c>
      <c r="C183" s="8" t="str">
        <f>TEXT(Table1[[#This Row],[Order_Date]],"MMM-YYYY")</f>
        <v>Jan-2025</v>
      </c>
      <c r="D183" s="9" t="s">
        <v>10</v>
      </c>
      <c r="E183" s="9" t="s">
        <v>44</v>
      </c>
      <c r="F183" s="9" t="s">
        <v>17</v>
      </c>
      <c r="G183" s="10">
        <v>6735.6</v>
      </c>
      <c r="H183" s="10">
        <v>1885.97</v>
      </c>
      <c r="I183" s="9">
        <v>12</v>
      </c>
      <c r="J183" s="11">
        <f t="shared" si="4"/>
        <v>0.28000029692974643</v>
      </c>
      <c r="K183" s="20">
        <f t="shared" si="5"/>
        <v>80827.200000000012</v>
      </c>
    </row>
    <row r="184" spans="1:11" ht="36.6" hidden="1" customHeight="1" x14ac:dyDescent="0.3">
      <c r="A184" s="6" t="s">
        <v>357</v>
      </c>
      <c r="B184" s="7">
        <v>45659</v>
      </c>
      <c r="C184" s="8" t="str">
        <f>TEXT(Table1[[#This Row],[Order_Date]],"MMM-YYYY")</f>
        <v>Jan-2025</v>
      </c>
      <c r="D184" s="9" t="s">
        <v>10</v>
      </c>
      <c r="E184" s="9" t="s">
        <v>37</v>
      </c>
      <c r="F184" s="9" t="s">
        <v>17</v>
      </c>
      <c r="G184" s="10">
        <v>304.95</v>
      </c>
      <c r="H184" s="10">
        <v>60.99</v>
      </c>
      <c r="I184" s="9">
        <v>1</v>
      </c>
      <c r="J184" s="11">
        <f t="shared" si="4"/>
        <v>0.2</v>
      </c>
      <c r="K184" s="20">
        <f t="shared" si="5"/>
        <v>304.95</v>
      </c>
    </row>
    <row r="185" spans="1:11" ht="36.6" customHeight="1" x14ac:dyDescent="0.3">
      <c r="A185" s="24" t="s">
        <v>358</v>
      </c>
      <c r="B185" s="7">
        <v>45660</v>
      </c>
      <c r="C185" s="8" t="str">
        <f>TEXT(Table1[[#This Row],[Order_Date]],"MMM-YYYY")</f>
        <v>Jan-2025</v>
      </c>
      <c r="D185" s="9" t="s">
        <v>36</v>
      </c>
      <c r="E185" s="9" t="s">
        <v>20</v>
      </c>
      <c r="F185" s="9" t="s">
        <v>17</v>
      </c>
      <c r="G185" s="10">
        <v>4864.58</v>
      </c>
      <c r="H185" s="10">
        <v>1167.5</v>
      </c>
      <c r="I185" s="9">
        <v>14</v>
      </c>
      <c r="J185" s="11">
        <f t="shared" si="4"/>
        <v>0.24000016445407416</v>
      </c>
      <c r="K185" s="20">
        <f t="shared" si="5"/>
        <v>68104.12</v>
      </c>
    </row>
    <row r="186" spans="1:11" ht="36.6" customHeight="1" x14ac:dyDescent="0.3">
      <c r="A186" s="24" t="s">
        <v>359</v>
      </c>
      <c r="B186" s="7">
        <v>45661</v>
      </c>
      <c r="C186" s="8" t="str">
        <f>TEXT(Table1[[#This Row],[Order_Date]],"MMM-YYYY")</f>
        <v>Jan-2025</v>
      </c>
      <c r="D186" s="9" t="s">
        <v>15</v>
      </c>
      <c r="E186" s="9" t="s">
        <v>20</v>
      </c>
      <c r="F186" s="9" t="s">
        <v>17</v>
      </c>
      <c r="G186" s="10">
        <v>1314.63</v>
      </c>
      <c r="H186" s="10">
        <v>315.51</v>
      </c>
      <c r="I186" s="9">
        <v>3</v>
      </c>
      <c r="J186" s="11">
        <f t="shared" si="4"/>
        <v>0.23999908719563676</v>
      </c>
      <c r="K186" s="20">
        <f t="shared" si="5"/>
        <v>3943.8900000000003</v>
      </c>
    </row>
    <row r="187" spans="1:11" ht="36.6" hidden="1" customHeight="1" x14ac:dyDescent="0.3">
      <c r="A187" s="6" t="s">
        <v>361</v>
      </c>
      <c r="B187" s="7">
        <v>45662</v>
      </c>
      <c r="C187" s="8" t="str">
        <f>TEXT(Table1[[#This Row],[Order_Date]],"MMM-YYYY")</f>
        <v>Jan-2025</v>
      </c>
      <c r="D187" s="9" t="s">
        <v>15</v>
      </c>
      <c r="E187" s="9" t="s">
        <v>16</v>
      </c>
      <c r="F187" s="9" t="s">
        <v>17</v>
      </c>
      <c r="G187" s="10">
        <v>5934.11</v>
      </c>
      <c r="H187" s="10">
        <v>1483.53</v>
      </c>
      <c r="I187" s="9">
        <v>13</v>
      </c>
      <c r="J187" s="11">
        <f t="shared" si="4"/>
        <v>0.2500004212931678</v>
      </c>
      <c r="K187" s="20">
        <f t="shared" si="5"/>
        <v>77143.429999999993</v>
      </c>
    </row>
    <row r="188" spans="1:11" ht="36.6" customHeight="1" x14ac:dyDescent="0.3">
      <c r="A188" s="24" t="s">
        <v>362</v>
      </c>
      <c r="B188" s="7">
        <v>45663</v>
      </c>
      <c r="C188" s="8" t="str">
        <f>TEXT(Table1[[#This Row],[Order_Date]],"MMM-YYYY")</f>
        <v>Jan-2025</v>
      </c>
      <c r="D188" s="9" t="s">
        <v>36</v>
      </c>
      <c r="E188" s="9" t="s">
        <v>20</v>
      </c>
      <c r="F188" s="9" t="s">
        <v>17</v>
      </c>
      <c r="G188" s="10">
        <v>8598.7999999999993</v>
      </c>
      <c r="H188" s="10">
        <v>2063.71</v>
      </c>
      <c r="I188" s="9">
        <v>20</v>
      </c>
      <c r="J188" s="11">
        <f t="shared" si="4"/>
        <v>0.23999976740940598</v>
      </c>
      <c r="K188" s="20">
        <f t="shared" si="5"/>
        <v>171976</v>
      </c>
    </row>
    <row r="189" spans="1:11" ht="36.6" hidden="1" customHeight="1" x14ac:dyDescent="0.3">
      <c r="A189" s="6" t="s">
        <v>364</v>
      </c>
      <c r="B189" s="7">
        <v>45664</v>
      </c>
      <c r="C189" s="8" t="str">
        <f>TEXT(Table1[[#This Row],[Order_Date]],"MMM-YYYY")</f>
        <v>Jan-2025</v>
      </c>
      <c r="D189" s="9" t="s">
        <v>15</v>
      </c>
      <c r="E189" s="9" t="s">
        <v>16</v>
      </c>
      <c r="F189" s="9" t="s">
        <v>17</v>
      </c>
      <c r="G189" s="10">
        <v>794.26</v>
      </c>
      <c r="H189" s="10">
        <v>198.56</v>
      </c>
      <c r="I189" s="9">
        <v>2</v>
      </c>
      <c r="J189" s="11">
        <f t="shared" si="4"/>
        <v>0.24999370483217084</v>
      </c>
      <c r="K189" s="20">
        <f t="shared" si="5"/>
        <v>1588.52</v>
      </c>
    </row>
    <row r="190" spans="1:11" ht="36.6" hidden="1" customHeight="1" x14ac:dyDescent="0.3">
      <c r="A190" s="6" t="s">
        <v>366</v>
      </c>
      <c r="B190" s="7">
        <v>45665</v>
      </c>
      <c r="C190" s="8" t="str">
        <f>TEXT(Table1[[#This Row],[Order_Date]],"MMM-YYYY")</f>
        <v>Jan-2025</v>
      </c>
      <c r="D190" s="9" t="s">
        <v>36</v>
      </c>
      <c r="E190" s="9" t="s">
        <v>44</v>
      </c>
      <c r="F190" s="9" t="s">
        <v>17</v>
      </c>
      <c r="G190" s="10">
        <v>5324.49</v>
      </c>
      <c r="H190" s="10">
        <v>1490.86</v>
      </c>
      <c r="I190" s="9">
        <v>9</v>
      </c>
      <c r="J190" s="11">
        <f t="shared" si="4"/>
        <v>0.28000052587196145</v>
      </c>
      <c r="K190" s="20">
        <f t="shared" si="5"/>
        <v>47920.409999999996</v>
      </c>
    </row>
    <row r="191" spans="1:11" ht="36.6" hidden="1" customHeight="1" x14ac:dyDescent="0.3">
      <c r="A191" s="6" t="s">
        <v>368</v>
      </c>
      <c r="B191" s="7">
        <v>45666</v>
      </c>
      <c r="C191" s="8" t="str">
        <f>TEXT(Table1[[#This Row],[Order_Date]],"MMM-YYYY")</f>
        <v>Jan-2025</v>
      </c>
      <c r="D191" s="9" t="s">
        <v>15</v>
      </c>
      <c r="E191" s="9" t="s">
        <v>23</v>
      </c>
      <c r="F191" s="9" t="s">
        <v>12</v>
      </c>
      <c r="G191" s="10">
        <v>320.68</v>
      </c>
      <c r="H191" s="10">
        <v>96.2</v>
      </c>
      <c r="I191" s="9">
        <v>2</v>
      </c>
      <c r="J191" s="11">
        <f t="shared" si="4"/>
        <v>0.29998752650617438</v>
      </c>
      <c r="K191" s="20">
        <f t="shared" si="5"/>
        <v>641.36</v>
      </c>
    </row>
    <row r="192" spans="1:11" ht="36.6" hidden="1" customHeight="1" x14ac:dyDescent="0.3">
      <c r="A192" s="6" t="s">
        <v>369</v>
      </c>
      <c r="B192" s="7">
        <v>45667</v>
      </c>
      <c r="C192" s="8" t="str">
        <f>TEXT(Table1[[#This Row],[Order_Date]],"MMM-YYYY")</f>
        <v>Jan-2025</v>
      </c>
      <c r="D192" s="9" t="s">
        <v>10</v>
      </c>
      <c r="E192" s="9" t="s">
        <v>16</v>
      </c>
      <c r="F192" s="9" t="s">
        <v>17</v>
      </c>
      <c r="G192" s="10">
        <v>5401.9</v>
      </c>
      <c r="H192" s="10">
        <v>1350.47</v>
      </c>
      <c r="I192" s="9">
        <v>14</v>
      </c>
      <c r="J192" s="11">
        <f t="shared" si="4"/>
        <v>0.24999907439974825</v>
      </c>
      <c r="K192" s="20">
        <f t="shared" si="5"/>
        <v>75626.599999999991</v>
      </c>
    </row>
    <row r="193" spans="1:11" ht="36.6" customHeight="1" x14ac:dyDescent="0.3">
      <c r="A193" s="24" t="s">
        <v>371</v>
      </c>
      <c r="B193" s="7">
        <v>45668</v>
      </c>
      <c r="C193" s="8" t="str">
        <f>TEXT(Table1[[#This Row],[Order_Date]],"MMM-YYYY")</f>
        <v>Jan-2025</v>
      </c>
      <c r="D193" s="9" t="s">
        <v>36</v>
      </c>
      <c r="E193" s="9" t="s">
        <v>20</v>
      </c>
      <c r="F193" s="9" t="s">
        <v>17</v>
      </c>
      <c r="G193" s="10">
        <v>4851</v>
      </c>
      <c r="H193" s="10">
        <v>1164.24</v>
      </c>
      <c r="I193" s="9">
        <v>14</v>
      </c>
      <c r="J193" s="11">
        <f t="shared" si="4"/>
        <v>0.24</v>
      </c>
      <c r="K193" s="20">
        <f t="shared" si="5"/>
        <v>67914</v>
      </c>
    </row>
    <row r="194" spans="1:11" ht="36.6" hidden="1" customHeight="1" x14ac:dyDescent="0.3">
      <c r="A194" s="6" t="s">
        <v>372</v>
      </c>
      <c r="B194" s="7">
        <v>45669</v>
      </c>
      <c r="C194" s="8" t="str">
        <f>TEXT(Table1[[#This Row],[Order_Date]],"MMM-YYYY")</f>
        <v>Jan-2025</v>
      </c>
      <c r="D194" s="9" t="s">
        <v>15</v>
      </c>
      <c r="E194" s="9" t="s">
        <v>49</v>
      </c>
      <c r="F194" s="9" t="s">
        <v>12</v>
      </c>
      <c r="G194" s="10">
        <v>1635.2</v>
      </c>
      <c r="H194" s="10">
        <v>523.26</v>
      </c>
      <c r="I194" s="9">
        <v>14</v>
      </c>
      <c r="J194" s="11">
        <f t="shared" si="4"/>
        <v>0.31999755381604694</v>
      </c>
      <c r="K194" s="20">
        <f t="shared" si="5"/>
        <v>22892.799999999999</v>
      </c>
    </row>
    <row r="195" spans="1:11" ht="36.6" customHeight="1" x14ac:dyDescent="0.3">
      <c r="A195" s="24" t="s">
        <v>374</v>
      </c>
      <c r="B195" s="7">
        <v>45670</v>
      </c>
      <c r="C195" s="8" t="str">
        <f>TEXT(Table1[[#This Row],[Order_Date]],"MMM-YYYY")</f>
        <v>Jan-2025</v>
      </c>
      <c r="D195" s="9" t="s">
        <v>10</v>
      </c>
      <c r="E195" s="9" t="s">
        <v>20</v>
      </c>
      <c r="F195" s="9" t="s">
        <v>17</v>
      </c>
      <c r="G195" s="10">
        <v>5861.28</v>
      </c>
      <c r="H195" s="10">
        <v>1406.71</v>
      </c>
      <c r="I195" s="9">
        <v>16</v>
      </c>
      <c r="J195" s="11">
        <f t="shared" ref="J195:J201" si="6">H195/G195</f>
        <v>0.24000047771135316</v>
      </c>
      <c r="K195" s="20">
        <f t="shared" ref="K195:K201" si="7">I195*G195</f>
        <v>93780.479999999996</v>
      </c>
    </row>
    <row r="196" spans="1:11" ht="36.6" hidden="1" customHeight="1" x14ac:dyDescent="0.3">
      <c r="A196" s="6" t="s">
        <v>376</v>
      </c>
      <c r="B196" s="7">
        <v>45671</v>
      </c>
      <c r="C196" s="8" t="str">
        <f>TEXT(Table1[[#This Row],[Order_Date]],"MMM-YYYY")</f>
        <v>Jan-2025</v>
      </c>
      <c r="D196" s="9" t="s">
        <v>31</v>
      </c>
      <c r="E196" s="9" t="s">
        <v>40</v>
      </c>
      <c r="F196" s="9" t="s">
        <v>41</v>
      </c>
      <c r="G196" s="10">
        <v>285.49</v>
      </c>
      <c r="H196" s="10">
        <v>51.39</v>
      </c>
      <c r="I196" s="9">
        <v>1</v>
      </c>
      <c r="J196" s="11">
        <f t="shared" si="6"/>
        <v>0.18000630494938527</v>
      </c>
      <c r="K196" s="20">
        <f t="shared" si="7"/>
        <v>285.49</v>
      </c>
    </row>
    <row r="197" spans="1:11" ht="36.6" hidden="1" customHeight="1" x14ac:dyDescent="0.3">
      <c r="A197" s="6" t="s">
        <v>378</v>
      </c>
      <c r="B197" s="7">
        <v>45672</v>
      </c>
      <c r="C197" s="8" t="str">
        <f>TEXT(Table1[[#This Row],[Order_Date]],"MMM-YYYY")</f>
        <v>Jan-2025</v>
      </c>
      <c r="D197" s="9" t="s">
        <v>15</v>
      </c>
      <c r="E197" s="9" t="s">
        <v>40</v>
      </c>
      <c r="F197" s="9" t="s">
        <v>41</v>
      </c>
      <c r="G197" s="10">
        <v>459.72</v>
      </c>
      <c r="H197" s="10">
        <v>82.75</v>
      </c>
      <c r="I197" s="9">
        <v>2</v>
      </c>
      <c r="J197" s="11">
        <f t="shared" si="6"/>
        <v>0.18000087009484034</v>
      </c>
      <c r="K197" s="20">
        <f t="shared" si="7"/>
        <v>919.44</v>
      </c>
    </row>
    <row r="198" spans="1:11" ht="36.6" customHeight="1" x14ac:dyDescent="0.3">
      <c r="A198" s="24" t="s">
        <v>379</v>
      </c>
      <c r="B198" s="7">
        <v>45673</v>
      </c>
      <c r="C198" s="8" t="str">
        <f>TEXT(Table1[[#This Row],[Order_Date]],"MMM-YYYY")</f>
        <v>Jan-2025</v>
      </c>
      <c r="D198" s="9" t="s">
        <v>15</v>
      </c>
      <c r="E198" s="9" t="s">
        <v>20</v>
      </c>
      <c r="F198" s="9" t="s">
        <v>17</v>
      </c>
      <c r="G198" s="10">
        <v>1779.6</v>
      </c>
      <c r="H198" s="10">
        <v>427.1</v>
      </c>
      <c r="I198" s="9">
        <v>4</v>
      </c>
      <c r="J198" s="11">
        <f t="shared" si="6"/>
        <v>0.23999775230388853</v>
      </c>
      <c r="K198" s="20">
        <f t="shared" si="7"/>
        <v>7118.4</v>
      </c>
    </row>
    <row r="199" spans="1:11" ht="36.6" hidden="1" customHeight="1" x14ac:dyDescent="0.3">
      <c r="A199" s="6" t="s">
        <v>381</v>
      </c>
      <c r="B199" s="7">
        <v>45674</v>
      </c>
      <c r="C199" s="8" t="str">
        <f>TEXT(Table1[[#This Row],[Order_Date]],"MMM-YYYY")</f>
        <v>Jan-2025</v>
      </c>
      <c r="D199" s="9" t="s">
        <v>31</v>
      </c>
      <c r="E199" s="9" t="s">
        <v>26</v>
      </c>
      <c r="F199" s="9" t="s">
        <v>12</v>
      </c>
      <c r="G199" s="10">
        <v>490.2</v>
      </c>
      <c r="H199" s="10">
        <v>186.28</v>
      </c>
      <c r="I199" s="9">
        <v>10</v>
      </c>
      <c r="J199" s="11">
        <f t="shared" si="6"/>
        <v>0.38000815993472054</v>
      </c>
      <c r="K199" s="20">
        <f t="shared" si="7"/>
        <v>4902</v>
      </c>
    </row>
    <row r="200" spans="1:11" ht="36.6" hidden="1" customHeight="1" x14ac:dyDescent="0.3">
      <c r="A200" s="6" t="s">
        <v>383</v>
      </c>
      <c r="B200" s="7">
        <v>45675</v>
      </c>
      <c r="C200" s="8" t="str">
        <f>TEXT(Table1[[#This Row],[Order_Date]],"MMM-YYYY")</f>
        <v>Jan-2025</v>
      </c>
      <c r="D200" s="9" t="s">
        <v>31</v>
      </c>
      <c r="E200" s="9" t="s">
        <v>49</v>
      </c>
      <c r="F200" s="9" t="s">
        <v>12</v>
      </c>
      <c r="G200" s="10">
        <v>2198.11</v>
      </c>
      <c r="H200" s="10">
        <v>703.4</v>
      </c>
      <c r="I200" s="9">
        <v>19</v>
      </c>
      <c r="J200" s="11">
        <f t="shared" si="6"/>
        <v>0.3200021836941736</v>
      </c>
      <c r="K200" s="20">
        <f t="shared" si="7"/>
        <v>41764.090000000004</v>
      </c>
    </row>
    <row r="201" spans="1:11" ht="36.6" hidden="1" customHeight="1" x14ac:dyDescent="0.3">
      <c r="A201" s="12" t="s">
        <v>385</v>
      </c>
      <c r="B201" s="7">
        <v>45676</v>
      </c>
      <c r="C201" s="13" t="str">
        <f>TEXT(Table1[[#This Row],[Order_Date]],"MMM-YYYY")</f>
        <v>Jan-2025</v>
      </c>
      <c r="D201" s="14" t="s">
        <v>36</v>
      </c>
      <c r="E201" s="14" t="s">
        <v>49</v>
      </c>
      <c r="F201" s="14" t="s">
        <v>12</v>
      </c>
      <c r="G201" s="15">
        <v>1887.85</v>
      </c>
      <c r="H201" s="15">
        <v>604.11</v>
      </c>
      <c r="I201" s="14">
        <v>17</v>
      </c>
      <c r="J201" s="16">
        <f t="shared" si="6"/>
        <v>0.31999894059379719</v>
      </c>
      <c r="K201" s="21">
        <f t="shared" si="7"/>
        <v>32093.449999999997</v>
      </c>
    </row>
  </sheetData>
  <dataConsolidate/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1C6C-AA34-483A-970F-00C7B48BA33F}">
  <sheetPr>
    <tabColor rgb="FFFFFF00"/>
  </sheetPr>
  <dimension ref="A3:D20"/>
  <sheetViews>
    <sheetView zoomScale="78" workbookViewId="0">
      <selection activeCell="O12" sqref="O12"/>
    </sheetView>
  </sheetViews>
  <sheetFormatPr defaultRowHeight="14.4" x14ac:dyDescent="0.3"/>
  <cols>
    <col min="1" max="1" width="20" bestFit="1" customWidth="1"/>
    <col min="2" max="2" width="26.44140625" bestFit="1" customWidth="1"/>
    <col min="3" max="3" width="16.44140625" bestFit="1" customWidth="1"/>
    <col min="4" max="4" width="21" bestFit="1" customWidth="1"/>
  </cols>
  <sheetData>
    <row r="3" spans="1:4" s="4" customFormat="1" ht="28.8" customHeight="1" x14ac:dyDescent="0.3">
      <c r="A3" s="2" t="s">
        <v>389</v>
      </c>
      <c r="B3" s="3" t="s">
        <v>391</v>
      </c>
      <c r="C3" s="3" t="s">
        <v>401</v>
      </c>
      <c r="D3"/>
    </row>
    <row r="4" spans="1:4" s="4" customFormat="1" ht="28.8" customHeight="1" x14ac:dyDescent="0.3">
      <c r="A4" s="3" t="s">
        <v>15</v>
      </c>
      <c r="B4" s="5">
        <v>164865.11000000002</v>
      </c>
      <c r="C4" s="5">
        <v>40157.85</v>
      </c>
      <c r="D4"/>
    </row>
    <row r="5" spans="1:4" s="4" customFormat="1" ht="28.8" customHeight="1" x14ac:dyDescent="0.3">
      <c r="A5" s="22" t="s">
        <v>12</v>
      </c>
      <c r="B5" s="5">
        <v>22820.2</v>
      </c>
      <c r="C5" s="5">
        <v>7414.72</v>
      </c>
      <c r="D5"/>
    </row>
    <row r="6" spans="1:4" s="4" customFormat="1" ht="28.8" customHeight="1" x14ac:dyDescent="0.3">
      <c r="A6" s="22" t="s">
        <v>17</v>
      </c>
      <c r="B6" s="5">
        <v>132703.9</v>
      </c>
      <c r="C6" s="5">
        <v>31061.739999999998</v>
      </c>
      <c r="D6"/>
    </row>
    <row r="7" spans="1:4" s="4" customFormat="1" ht="28.8" customHeight="1" x14ac:dyDescent="0.3">
      <c r="A7" s="22" t="s">
        <v>41</v>
      </c>
      <c r="B7" s="5">
        <v>9341.01</v>
      </c>
      <c r="C7" s="5">
        <v>1681.3899999999999</v>
      </c>
      <c r="D7"/>
    </row>
    <row r="8" spans="1:4" s="4" customFormat="1" ht="28.8" customHeight="1" x14ac:dyDescent="0.3">
      <c r="A8" s="3" t="s">
        <v>31</v>
      </c>
      <c r="B8" s="5">
        <v>256610.42000000004</v>
      </c>
      <c r="C8" s="5">
        <v>63015.470000000008</v>
      </c>
      <c r="D8"/>
    </row>
    <row r="9" spans="1:4" ht="28.8" customHeight="1" x14ac:dyDescent="0.3">
      <c r="A9" s="22" t="s">
        <v>12</v>
      </c>
      <c r="B9" s="5">
        <v>18950.420000000002</v>
      </c>
      <c r="C9" s="5">
        <v>6146.24</v>
      </c>
    </row>
    <row r="10" spans="1:4" ht="28.8" customHeight="1" x14ac:dyDescent="0.3">
      <c r="A10" s="22" t="s">
        <v>17</v>
      </c>
      <c r="B10" s="5">
        <v>227474.61000000004</v>
      </c>
      <c r="C10" s="5">
        <v>55035.860000000008</v>
      </c>
    </row>
    <row r="11" spans="1:4" ht="28.8" customHeight="1" x14ac:dyDescent="0.3">
      <c r="A11" s="22" t="s">
        <v>41</v>
      </c>
      <c r="B11" s="5">
        <v>10185.39</v>
      </c>
      <c r="C11" s="5">
        <v>1833.37</v>
      </c>
    </row>
    <row r="12" spans="1:4" ht="28.8" customHeight="1" x14ac:dyDescent="0.3">
      <c r="A12" s="3" t="s">
        <v>10</v>
      </c>
      <c r="B12" s="5">
        <v>171046.81</v>
      </c>
      <c r="C12" s="5">
        <v>43996.25</v>
      </c>
    </row>
    <row r="13" spans="1:4" ht="28.8" customHeight="1" x14ac:dyDescent="0.3">
      <c r="A13" s="22" t="s">
        <v>12</v>
      </c>
      <c r="B13" s="5">
        <v>18306.299999999996</v>
      </c>
      <c r="C13" s="5">
        <v>5968.5000000000009</v>
      </c>
    </row>
    <row r="14" spans="1:4" ht="28.8" customHeight="1" x14ac:dyDescent="0.3">
      <c r="A14" s="22" t="s">
        <v>17</v>
      </c>
      <c r="B14" s="5">
        <v>139423.83000000002</v>
      </c>
      <c r="C14" s="5">
        <v>35630.75</v>
      </c>
    </row>
    <row r="15" spans="1:4" ht="28.8" customHeight="1" x14ac:dyDescent="0.3">
      <c r="A15" s="22" t="s">
        <v>41</v>
      </c>
      <c r="B15" s="5">
        <v>13316.68</v>
      </c>
      <c r="C15" s="5">
        <v>2397</v>
      </c>
    </row>
    <row r="16" spans="1:4" ht="28.8" customHeight="1" x14ac:dyDescent="0.3">
      <c r="A16" s="3" t="s">
        <v>36</v>
      </c>
      <c r="B16" s="5">
        <v>137407.91</v>
      </c>
      <c r="C16" s="5">
        <v>33392.060000000005</v>
      </c>
    </row>
    <row r="17" spans="1:3" ht="28.8" customHeight="1" x14ac:dyDescent="0.3">
      <c r="A17" s="22" t="s">
        <v>12</v>
      </c>
      <c r="B17" s="5">
        <v>19063.489999999998</v>
      </c>
      <c r="C17" s="5">
        <v>6366.83</v>
      </c>
    </row>
    <row r="18" spans="1:3" ht="28.8" customHeight="1" x14ac:dyDescent="0.3">
      <c r="A18" s="22" t="s">
        <v>17</v>
      </c>
      <c r="B18" s="5">
        <v>103797.98</v>
      </c>
      <c r="C18" s="5">
        <v>24406.870000000003</v>
      </c>
    </row>
    <row r="19" spans="1:3" ht="28.8" customHeight="1" x14ac:dyDescent="0.3">
      <c r="A19" s="22" t="s">
        <v>41</v>
      </c>
      <c r="B19" s="5">
        <v>14546.44</v>
      </c>
      <c r="C19" s="5">
        <v>2618.36</v>
      </c>
    </row>
    <row r="20" spans="1:3" ht="28.8" customHeight="1" x14ac:dyDescent="0.3">
      <c r="A20" s="3" t="s">
        <v>390</v>
      </c>
      <c r="B20" s="5">
        <v>729930.25000000012</v>
      </c>
      <c r="C20" s="5">
        <v>180561.62999999998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7891-41D0-4511-AEEE-B5A638EE9C47}">
  <sheetPr>
    <tabColor rgb="FF92D050"/>
  </sheetPr>
  <dimension ref="A2:C13"/>
  <sheetViews>
    <sheetView zoomScale="61" workbookViewId="0">
      <selection activeCell="AD11" sqref="AD11"/>
    </sheetView>
  </sheetViews>
  <sheetFormatPr defaultRowHeight="14.4" x14ac:dyDescent="0.3"/>
  <cols>
    <col min="1" max="1" width="21.21875" bestFit="1" customWidth="1"/>
    <col min="2" max="2" width="26.6640625" bestFit="1" customWidth="1"/>
    <col min="3" max="3" width="16.5546875" bestFit="1" customWidth="1"/>
  </cols>
  <sheetData>
    <row r="2" spans="1:3" s="4" customFormat="1" ht="18" x14ac:dyDescent="0.3">
      <c r="A2" s="2" t="s">
        <v>389</v>
      </c>
      <c r="B2" s="3" t="s">
        <v>391</v>
      </c>
      <c r="C2" s="3" t="s">
        <v>401</v>
      </c>
    </row>
    <row r="3" spans="1:3" s="4" customFormat="1" ht="36" customHeight="1" x14ac:dyDescent="0.3">
      <c r="A3" s="3" t="s">
        <v>20</v>
      </c>
      <c r="B3" s="5">
        <v>128885.13000000002</v>
      </c>
      <c r="C3" s="5">
        <v>30932.42</v>
      </c>
    </row>
    <row r="4" spans="1:3" s="4" customFormat="1" ht="36" customHeight="1" x14ac:dyDescent="0.3">
      <c r="A4" s="3" t="s">
        <v>49</v>
      </c>
      <c r="B4" s="5">
        <v>27425.27</v>
      </c>
      <c r="C4" s="5">
        <v>8776.0700000000015</v>
      </c>
    </row>
    <row r="5" spans="1:3" s="4" customFormat="1" ht="36" customHeight="1" x14ac:dyDescent="0.3">
      <c r="A5" s="3" t="s">
        <v>11</v>
      </c>
      <c r="B5" s="5">
        <v>14797.239999999998</v>
      </c>
      <c r="C5" s="5">
        <v>5179</v>
      </c>
    </row>
    <row r="6" spans="1:3" s="4" customFormat="1" ht="36" customHeight="1" x14ac:dyDescent="0.3">
      <c r="A6" s="3" t="s">
        <v>111</v>
      </c>
      <c r="B6" s="5">
        <v>166264.07</v>
      </c>
      <c r="C6" s="5">
        <v>36578.090000000004</v>
      </c>
    </row>
    <row r="7" spans="1:3" s="4" customFormat="1" ht="36" customHeight="1" x14ac:dyDescent="0.3">
      <c r="A7" s="3" t="s">
        <v>37</v>
      </c>
      <c r="B7" s="5">
        <v>62900.54</v>
      </c>
      <c r="C7" s="5">
        <v>12580.100000000002</v>
      </c>
    </row>
    <row r="8" spans="1:3" s="4" customFormat="1" ht="36" customHeight="1" x14ac:dyDescent="0.3">
      <c r="A8" s="3" t="s">
        <v>26</v>
      </c>
      <c r="B8" s="5">
        <v>10823.380000000001</v>
      </c>
      <c r="C8" s="5">
        <v>4112.8799999999992</v>
      </c>
    </row>
    <row r="9" spans="1:3" s="4" customFormat="1" ht="36" customHeight="1" x14ac:dyDescent="0.3">
      <c r="A9" s="3" t="s">
        <v>40</v>
      </c>
      <c r="B9" s="5">
        <v>47389.520000000004</v>
      </c>
      <c r="C9" s="5">
        <v>8530.119999999999</v>
      </c>
    </row>
    <row r="10" spans="1:3" s="4" customFormat="1" ht="36" customHeight="1" x14ac:dyDescent="0.3">
      <c r="A10" s="3" t="s">
        <v>44</v>
      </c>
      <c r="B10" s="5">
        <v>156899.00999999995</v>
      </c>
      <c r="C10" s="5">
        <v>43931.72</v>
      </c>
    </row>
    <row r="11" spans="1:3" s="4" customFormat="1" ht="36" customHeight="1" x14ac:dyDescent="0.3">
      <c r="A11" s="3" t="s">
        <v>23</v>
      </c>
      <c r="B11" s="5">
        <v>26094.520000000008</v>
      </c>
      <c r="C11" s="5">
        <v>7828.34</v>
      </c>
    </row>
    <row r="12" spans="1:3" s="4" customFormat="1" ht="36" customHeight="1" x14ac:dyDescent="0.3">
      <c r="A12" s="3" t="s">
        <v>16</v>
      </c>
      <c r="B12" s="5">
        <v>88451.569999999978</v>
      </c>
      <c r="C12" s="5">
        <v>22112.89</v>
      </c>
    </row>
    <row r="13" spans="1:3" s="4" customFormat="1" ht="36" customHeight="1" x14ac:dyDescent="0.3">
      <c r="A13" s="3" t="s">
        <v>390</v>
      </c>
      <c r="B13" s="5">
        <v>729930.24999999988</v>
      </c>
      <c r="C13" s="5">
        <v>180561.63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A222-EED1-413F-98C0-C1BC923141C1}">
  <sheetPr>
    <tabColor rgb="FF00B0F0"/>
  </sheetPr>
  <dimension ref="A2:D10"/>
  <sheetViews>
    <sheetView tabSelected="1" zoomScale="64" workbookViewId="0">
      <selection activeCell="R24" sqref="R24"/>
    </sheetView>
  </sheetViews>
  <sheetFormatPr defaultRowHeight="14.4" x14ac:dyDescent="0.3"/>
  <cols>
    <col min="1" max="1" width="22.5546875" bestFit="1" customWidth="1"/>
    <col min="2" max="2" width="24.5546875" bestFit="1" customWidth="1"/>
    <col min="3" max="3" width="17.44140625" bestFit="1" customWidth="1"/>
    <col min="4" max="4" width="21.21875" bestFit="1" customWidth="1"/>
  </cols>
  <sheetData>
    <row r="2" spans="1:4" s="4" customFormat="1" ht="28.8" customHeight="1" x14ac:dyDescent="0.3">
      <c r="A2" s="2" t="s">
        <v>389</v>
      </c>
      <c r="B2" s="3" t="s">
        <v>400</v>
      </c>
      <c r="C2" s="3" t="s">
        <v>401</v>
      </c>
      <c r="D2"/>
    </row>
    <row r="3" spans="1:4" s="4" customFormat="1" ht="28.8" customHeight="1" x14ac:dyDescent="0.3">
      <c r="A3" s="3" t="s">
        <v>393</v>
      </c>
      <c r="B3" s="3">
        <v>2120254.2700000005</v>
      </c>
      <c r="C3" s="5">
        <v>35476.400000000009</v>
      </c>
      <c r="D3"/>
    </row>
    <row r="4" spans="1:4" s="4" customFormat="1" ht="28.8" customHeight="1" x14ac:dyDescent="0.3">
      <c r="A4" s="3" t="s">
        <v>394</v>
      </c>
      <c r="B4" s="3">
        <v>1225290.21</v>
      </c>
      <c r="C4" s="5">
        <v>22844.690000000006</v>
      </c>
      <c r="D4"/>
    </row>
    <row r="5" spans="1:4" s="4" customFormat="1" ht="28.8" customHeight="1" x14ac:dyDescent="0.3">
      <c r="A5" s="3" t="s">
        <v>395</v>
      </c>
      <c r="B5" s="3">
        <v>799746.62999999989</v>
      </c>
      <c r="C5" s="5">
        <v>15262.540000000003</v>
      </c>
      <c r="D5"/>
    </row>
    <row r="6" spans="1:4" s="4" customFormat="1" ht="28.8" customHeight="1" x14ac:dyDescent="0.3">
      <c r="A6" s="3" t="s">
        <v>396</v>
      </c>
      <c r="B6" s="3">
        <v>1004565.0700000001</v>
      </c>
      <c r="C6" s="5">
        <v>21257.54</v>
      </c>
      <c r="D6"/>
    </row>
    <row r="7" spans="1:4" s="4" customFormat="1" ht="28.8" customHeight="1" x14ac:dyDescent="0.3">
      <c r="A7" s="3" t="s">
        <v>397</v>
      </c>
      <c r="B7" s="3">
        <v>2315310.67</v>
      </c>
      <c r="C7" s="5">
        <v>36250.050000000003</v>
      </c>
      <c r="D7"/>
    </row>
    <row r="8" spans="1:4" s="4" customFormat="1" ht="28.8" customHeight="1" x14ac:dyDescent="0.3">
      <c r="A8" s="3" t="s">
        <v>398</v>
      </c>
      <c r="B8" s="3">
        <v>1311279.2200000002</v>
      </c>
      <c r="C8" s="5">
        <v>24727.53</v>
      </c>
      <c r="D8"/>
    </row>
    <row r="9" spans="1:4" s="4" customFormat="1" ht="28.8" customHeight="1" x14ac:dyDescent="0.3">
      <c r="A9" s="3" t="s">
        <v>399</v>
      </c>
      <c r="B9" s="3">
        <v>1313583.7200000002</v>
      </c>
      <c r="C9" s="5">
        <v>24742.880000000001</v>
      </c>
      <c r="D9"/>
    </row>
    <row r="10" spans="1:4" s="4" customFormat="1" ht="28.8" customHeight="1" x14ac:dyDescent="0.3">
      <c r="A10" s="3" t="s">
        <v>390</v>
      </c>
      <c r="B10" s="3">
        <v>10090029.790000001</v>
      </c>
      <c r="C10" s="5">
        <v>180561.63000000003</v>
      </c>
      <c r="D10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RAW-DATA</vt:lpstr>
      <vt:lpstr>CLEANED DATA</vt:lpstr>
      <vt:lpstr>SALES BY REGION</vt:lpstr>
      <vt:lpstr>SALES BY PRODUCT</vt:lpstr>
      <vt:lpstr>MONTHLY SALES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BISWAJIT CHOUDHURY</cp:lastModifiedBy>
  <dcterms:created xsi:type="dcterms:W3CDTF">2026-05-01T08:51:28Z</dcterms:created>
  <dcterms:modified xsi:type="dcterms:W3CDTF">2026-05-05T11:10:48Z</dcterms:modified>
</cp:coreProperties>
</file>